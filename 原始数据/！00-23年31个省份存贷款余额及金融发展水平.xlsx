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20" windowHeight="10300"/>
  </bookViews>
  <sheets>
    <sheet name="Sheet1" sheetId="4" r:id="rId1"/>
    <sheet name="Sheet2" sheetId="5" r:id="rId2"/>
  </sheets>
  <definedNames>
    <definedName name="_xlnm._FilterDatabase" localSheetId="0" hidden="1">Sheet1!$A$1:$H$745</definedName>
  </definedNames>
  <calcPr calcId="144525"/>
</workbook>
</file>

<file path=xl/sharedStrings.xml><?xml version="1.0" encoding="utf-8"?>
<sst xmlns="http://schemas.openxmlformats.org/spreadsheetml/2006/main" count="785" uniqueCount="41">
  <si>
    <t>id</t>
  </si>
  <si>
    <t>省份</t>
  </si>
  <si>
    <t>year</t>
  </si>
  <si>
    <t>金融机构本外币存款余额/亿元</t>
  </si>
  <si>
    <t>本外币贷款余额/亿元</t>
  </si>
  <si>
    <t>存贷款余额总额</t>
  </si>
  <si>
    <t>GDP/亿元</t>
  </si>
  <si>
    <t>金融发展水平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</si>
  <si>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</si>
  <si>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</si>
  <si>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</si>
  <si>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</si>
  <si>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</si>
  <si>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</si>
  <si>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</si>
  <si>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</si>
  <si>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</si>
  <si>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</si>
  <si>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</si>
  <si>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</si>
  <si>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</si>
  <si>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</si>
  <si>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</si>
  <si>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</si>
  <si>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</si>
  <si>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</si>
  <si>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</si>
  <si>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</si>
  <si>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</si>
  <si>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</si>
  <si>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</si>
  <si>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</si>
  <si>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</si>
  <si>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</si>
  <si>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</si>
  <si>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</si>
  <si>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</si>
  <si>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</si>
  <si>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</si>
  <si>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贵州、云南、西藏、青海统计年鉴中无本外币存贷款余额，用的是人民币</t>
  </si>
  <si>
    <t>数据源于各省份统计年鉴、统计公报</t>
  </si>
</sst>
</file>

<file path=xl/styles.xml><?xml version="1.0" encoding="utf-8"?>
<styleSheet xmlns="http://schemas.openxmlformats.org/spreadsheetml/2006/main">
  <numFmts count="37">
    <numFmt numFmtId="6" formatCode="&quot;￥&quot;#,##0;[Red]&quot;￥&quot;\-#,##0"/>
    <numFmt numFmtId="176" formatCode="yy/m/d"/>
    <numFmt numFmtId="23" formatCode="\$#,##0_);\(\$#,##0\)"/>
    <numFmt numFmtId="177" formatCode="#\ ?/?"/>
    <numFmt numFmtId="178" formatCode="\¥#,##0.00;[Red]\¥\-#,##0.00"/>
    <numFmt numFmtId="179" formatCode="[DBNum1]上午/下午h&quot;时&quot;mm&quot;分&quot;"/>
    <numFmt numFmtId="26" formatCode="\$#,##0.00_);[Red]\(\$#,##0.00\)"/>
    <numFmt numFmtId="180" formatCode="[DBNum1][$-804]m&quot;月&quot;d&quot;日&quot;"/>
    <numFmt numFmtId="5" formatCode="&quot;￥&quot;#,##0;&quot;￥&quot;\-#,##0"/>
    <numFmt numFmtId="181" formatCode="[$-804]aaa"/>
    <numFmt numFmtId="182" formatCode="[$-804]aaaa"/>
    <numFmt numFmtId="7" formatCode="&quot;￥&quot;#,##0.00;&quot;￥&quot;\-#,##0.00"/>
    <numFmt numFmtId="183" formatCode="yyyy/m/d\ h:mm\ AM/PM"/>
    <numFmt numFmtId="184" formatCode="mmmmm"/>
    <numFmt numFmtId="24" formatCode="\$#,##0_);[Red]\(\$#,##0\)"/>
    <numFmt numFmtId="185" formatCode="mm/dd/yy"/>
    <numFmt numFmtId="186" formatCode="dd\-mmm\-yy"/>
    <numFmt numFmtId="187" formatCode="\¥#,##0;[Red]\¥\-#,##0"/>
    <numFmt numFmtId="188" formatCode="m/d"/>
    <numFmt numFmtId="189" formatCode="h:mm\ AM/PM"/>
    <numFmt numFmtId="8" formatCode="&quot;￥&quot;#,##0.00;[Red]&quot;￥&quot;\-#,##0.00"/>
    <numFmt numFmtId="190" formatCode="[DBNum1][$-804]yyyy&quot;年&quot;m&quot;月&quot;"/>
    <numFmt numFmtId="44" formatCode="_ &quot;￥&quot;* #,##0.00_ ;_ &quot;￥&quot;* \-#,##0.00_ ;_ &quot;￥&quot;* &quot;-&quot;??_ ;_ @_ "/>
    <numFmt numFmtId="43" formatCode="_ * #,##0.00_ ;_ * \-#,##0.00_ ;_ * &quot;-&quot;??_ ;_ @_ "/>
    <numFmt numFmtId="191" formatCode="0.00_ "/>
    <numFmt numFmtId="192" formatCode="[DBNum1][$-804]yyyy&quot;年&quot;m&quot;月&quot;d&quot;日&quot;"/>
    <numFmt numFmtId="193" formatCode="h:mm:ss\ AM/PM"/>
    <numFmt numFmtId="194" formatCode="\¥#,##0.00;\¥\-#,##0.00"/>
    <numFmt numFmtId="195" formatCode="mmmmm\-yy"/>
    <numFmt numFmtId="196" formatCode="#\ ??"/>
    <numFmt numFmtId="197" formatCode="mmmm\-yy"/>
    <numFmt numFmtId="198" formatCode="[DBNum1]h&quot;时&quot;mm&quot;分&quot;"/>
    <numFmt numFmtId="25" formatCode="\$#,##0.00_);\(\$#,##0.00\)"/>
    <numFmt numFmtId="199" formatCode="\¥#,##0;\¥\-#,##0"/>
    <numFmt numFmtId="42" formatCode="_ &quot;￥&quot;* #,##0_ ;_ &quot;￥&quot;* \-#,##0_ ;_ &quot;￥&quot;* &quot;-&quot;_ ;_ @_ "/>
    <numFmt numFmtId="200" formatCode="#\ ??/??"/>
    <numFmt numFmtId="41" formatCode="_ * #,##0_ ;_ * \-#,##0_ ;_ * &quot;-&quot;_ ;_ @_ "/>
  </numFmts>
  <fonts count="25">
    <font>
      <sz val="11"/>
      <name val="等线"/>
      <charset val="134"/>
    </font>
    <font>
      <sz val="10"/>
      <color rgb="FF000000"/>
      <name val="宋体"/>
      <charset val="134"/>
    </font>
    <font>
      <sz val="8"/>
      <color rgb="FF231F20"/>
      <name val="Times New Roman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sz val="10"/>
      <name val="Arial"/>
      <charset val="134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231F2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>
      <alignment vertical="center"/>
    </xf>
    <xf numFmtId="0" fontId="24" fillId="0" borderId="0">
      <alignment vertical="center"/>
    </xf>
    <xf numFmtId="0" fontId="12" fillId="0" borderId="0"/>
    <xf numFmtId="0" fontId="5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2" fillId="29" borderId="8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6" borderId="4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0"/>
    <xf numFmtId="0" fontId="10" fillId="0" borderId="5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91" fontId="0" fillId="0" borderId="0" xfId="0" applyNumberFormat="1" applyFont="1" applyAlignment="1">
      <alignment horizontal="center" vertical="center"/>
    </xf>
    <xf numFmtId="191" fontId="0" fillId="0" borderId="0" xfId="0" applyNumberFormat="1" applyAlignment="1">
      <alignment horizontal="center" vertical="center"/>
    </xf>
    <xf numFmtId="191" fontId="2" fillId="0" borderId="0" xfId="0" applyNumberFormat="1" applyFont="1" applyAlignment="1">
      <alignment horizontal="right" vertical="top" wrapText="1"/>
    </xf>
    <xf numFmtId="191" fontId="2" fillId="0" borderId="0" xfId="0" applyNumberFormat="1" applyFont="1" applyAlignment="1">
      <alignment horizontal="right" wrapText="1"/>
    </xf>
    <xf numFmtId="191" fontId="2" fillId="0" borderId="0" xfId="0" applyNumberFormat="1" applyFont="1" applyAlignment="1">
      <alignment horizontal="right" vertical="center" wrapText="1"/>
    </xf>
    <xf numFmtId="191" fontId="2" fillId="0" borderId="1" xfId="0" applyNumberFormat="1" applyFont="1" applyBorder="1" applyAlignment="1">
      <alignment horizontal="right" vertical="center" wrapText="1"/>
    </xf>
  </cellXfs>
  <cellStyles count="52">
    <cellStyle name="常规" xfId="0" builtinId="0"/>
    <cellStyle name="常规 4" xfId="1"/>
    <cellStyle name="常规 2" xfId="2"/>
    <cellStyle name="60% - 强调文字颜色 6" xfId="3" builtinId="52"/>
    <cellStyle name="20% - 强调文字颜色 4" xfId="4" builtinId="42"/>
    <cellStyle name="强调文字颜色 4" xfId="5" builtinId="41"/>
    <cellStyle name="输入" xfId="6" builtinId="20"/>
    <cellStyle name="40% - 强调文字颜色 3" xfId="7" builtinId="39"/>
    <cellStyle name="20% - 强调文字颜色 3" xfId="8" builtinId="38"/>
    <cellStyle name="货币" xfId="9" builtinId="4"/>
    <cellStyle name="强调文字颜色 3" xfId="10" builtinId="37"/>
    <cellStyle name="百分比" xfId="11" builtinId="5"/>
    <cellStyle name="60% - 强调文字颜色 2" xfId="12" builtinId="36"/>
    <cellStyle name="60% - 强调文字颜色 5" xfId="13" builtinId="48"/>
    <cellStyle name="强调文字颜色 2" xfId="14" builtinId="33"/>
    <cellStyle name="60% - 强调文字颜色 1" xfId="15" builtinId="32"/>
    <cellStyle name="60% - 强调文字颜色 4" xfId="16" builtinId="44"/>
    <cellStyle name="计算" xfId="17" builtinId="22"/>
    <cellStyle name="强调文字颜色 1" xfId="18" builtinId="29"/>
    <cellStyle name="适中" xfId="19" builtinId="28"/>
    <cellStyle name="20% - 强调文字颜色 5" xfId="20" builtinId="46"/>
    <cellStyle name="好" xfId="21" builtinId="26"/>
    <cellStyle name="20% - 强调文字颜色 1" xfId="22" builtinId="30"/>
    <cellStyle name="汇总" xfId="23" builtinId="25"/>
    <cellStyle name="差" xfId="24" builtinId="27"/>
    <cellStyle name="检查单元格" xfId="25" builtinId="23"/>
    <cellStyle name="输出" xfId="26" builtinId="21"/>
    <cellStyle name="标题 1" xfId="27" builtinId="16"/>
    <cellStyle name="解释性文本" xfId="28" builtinId="53"/>
    <cellStyle name="20% - 强调文字颜色 2" xfId="29" builtinId="34"/>
    <cellStyle name="标题 4" xfId="30" builtinId="19"/>
    <cellStyle name="货币[0]" xfId="31" builtinId="7"/>
    <cellStyle name="40% - 强调文字颜色 4" xfId="32" builtinId="43"/>
    <cellStyle name="千位分隔" xfId="33" builtinId="3"/>
    <cellStyle name="已访问的超链接" xfId="34" builtinId="9"/>
    <cellStyle name="标题" xfId="35" builtinId="15"/>
    <cellStyle name="40% - 强调文字颜色 2" xfId="36" builtinId="35"/>
    <cellStyle name="警告文本" xfId="37" builtinId="11"/>
    <cellStyle name="60% - 强调文字颜色 3" xfId="38" builtinId="40"/>
    <cellStyle name="注释" xfId="39" builtinId="10"/>
    <cellStyle name="20% - 强调文字颜色 6" xfId="40" builtinId="50"/>
    <cellStyle name="强调文字颜色 5" xfId="41" builtinId="45"/>
    <cellStyle name="40% - 强调文字颜色 6" xfId="42" builtinId="51"/>
    <cellStyle name="超链接" xfId="43" builtinId="8"/>
    <cellStyle name="千位分隔[0]" xfId="44" builtinId="6"/>
    <cellStyle name="标题 2" xfId="45" builtinId="17"/>
    <cellStyle name="40% - 强调文字颜色 5" xfId="46" builtinId="47"/>
    <cellStyle name="标题 3" xfId="47" builtinId="18"/>
    <cellStyle name="强调文字颜色 6" xfId="48" builtinId="49"/>
    <cellStyle name="40% - 强调文字颜色 1" xfId="49" builtinId="31"/>
    <cellStyle name="常规 3" xfId="50"/>
    <cellStyle name="链接单元格" xfId="51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745"/>
  <sheetViews>
    <sheetView tabSelected="1" zoomScale="50" zoomScaleNormal="50" workbookViewId="0">
      <pane ySplit="1" topLeftCell="D2" activePane="bottomLeft" state="frozen"/>
      <selection/>
      <selection pane="bottomLeft" activeCell="H731" sqref="H731"/>
    </sheetView>
  </sheetViews>
  <sheetFormatPr defaultColWidth="9" defaultRowHeight="14.25"/>
  <cols>
    <col min="1" max="3" width="8.66666666666667" style="3"/>
    <col min="4" max="4" width="29.1" style="3" customWidth="1"/>
    <col min="5" max="5" width="23.6083333333333" style="3" customWidth="1"/>
    <col min="6" max="6" width="19.4166666666667" style="3" customWidth="1"/>
    <col min="7" max="7" width="12.4166666666667" style="3" customWidth="1"/>
    <col min="8" max="8" width="23.9166666666667" style="3" customWidth="1"/>
    <col min="9" max="11" width="8.66666666666667" style="3"/>
    <col min="12" max="12" width="10.8333333333333" style="3" customWidth="1"/>
    <col min="13" max="16384" width="8.66666666666667" style="3"/>
  </cols>
  <sheetData>
    <row r="1" spans="1:8">
      <c r="A1" s="4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idden="1" spans="1:8">
      <c r="A2" s="3">
        <f>VLOOKUP(B2,Sheet2!$A$1:$B$31,2,0)</f>
        <v>1</v>
      </c>
      <c r="B2" s="3" t="s">
        <v>8</v>
      </c>
      <c r="C2" s="3">
        <v>2000</v>
      </c>
      <c r="D2" s="3">
        <v>11526</v>
      </c>
      <c r="E2" s="3">
        <v>6407.9</v>
      </c>
      <c r="F2" s="3">
        <f ca="1" t="shared" ref="F2:F65" si="0">D2+E2</f>
        <v>17933.9</v>
      </c>
      <c r="G2" s="3">
        <v>3277.8</v>
      </c>
      <c r="H2" s="3">
        <f ca="1" t="shared" ref="H2:H65" si="1">F2/G2</f>
        <v>5.47132222832388</v>
      </c>
    </row>
    <row r="3" hidden="1" spans="1:8">
      <c r="A3" s="3">
        <f>VLOOKUP(B3,Sheet2!$A$1:$B$31,2,0)</f>
        <v>2</v>
      </c>
      <c r="B3" s="3" t="s">
        <v>9</v>
      </c>
      <c r="C3" s="3">
        <v>2000</v>
      </c>
      <c r="D3" s="3">
        <v>2281.55</v>
      </c>
      <c r="E3" s="3">
        <v>1863.6</v>
      </c>
      <c r="F3" s="3">
        <f ca="1" t="shared" si="0"/>
        <v>4145.15</v>
      </c>
      <c r="G3" s="3">
        <v>1591.7</v>
      </c>
      <c r="H3" s="3">
        <f ca="1" t="shared" si="1"/>
        <v>2.60422818370296</v>
      </c>
    </row>
    <row r="4" spans="1:8">
      <c r="A4" s="3">
        <f>VLOOKUP(B4,Sheet2!$A$1:$B$31,2,0)</f>
        <v>3</v>
      </c>
      <c r="B4" s="3" t="s">
        <v>10</v>
      </c>
      <c r="C4" s="3">
        <v>2000</v>
      </c>
      <c r="D4" s="3">
        <v>3780.74</v>
      </c>
      <c r="E4" s="3">
        <v>2933.19</v>
      </c>
      <c r="F4" s="3">
        <f ca="1" t="shared" si="0"/>
        <v>6713.93</v>
      </c>
      <c r="G4" s="3">
        <v>4628.2</v>
      </c>
      <c r="H4" s="3">
        <f ca="1" t="shared" si="1"/>
        <v>1.45065684283307</v>
      </c>
    </row>
    <row r="5" hidden="1" spans="1:8">
      <c r="A5" s="3">
        <f>VLOOKUP(B5,Sheet2!$A$1:$B$31,2,0)</f>
        <v>4</v>
      </c>
      <c r="B5" s="3" t="s">
        <v>11</v>
      </c>
      <c r="C5" s="3">
        <v>2000</v>
      </c>
      <c r="D5" s="3">
        <v>2628.39</v>
      </c>
      <c r="E5" s="3">
        <v>2453.15</v>
      </c>
      <c r="F5" s="3">
        <f ca="1" t="shared" si="0"/>
        <v>5081.54</v>
      </c>
      <c r="G5" s="3">
        <v>1845.72</v>
      </c>
      <c r="H5" s="3">
        <f ca="1" t="shared" si="1"/>
        <v>2.75314782307175</v>
      </c>
    </row>
    <row r="6" hidden="1" spans="1:8">
      <c r="A6" s="3">
        <f>VLOOKUP(B6,Sheet2!$A$1:$B$31,2,0)</f>
        <v>5</v>
      </c>
      <c r="B6" s="3" t="s">
        <v>12</v>
      </c>
      <c r="C6" s="3">
        <v>2000</v>
      </c>
      <c r="D6" s="3">
        <v>1270.13</v>
      </c>
      <c r="E6" s="3">
        <v>1340.74</v>
      </c>
      <c r="F6" s="3">
        <f ca="1" t="shared" si="0"/>
        <v>2610.87</v>
      </c>
      <c r="G6" s="3">
        <v>1539.12</v>
      </c>
      <c r="H6" s="3">
        <f ca="1" t="shared" si="1"/>
        <v>1.69633946670825</v>
      </c>
    </row>
    <row r="7" hidden="1" spans="1:8">
      <c r="A7" s="3">
        <f>VLOOKUP(B7,Sheet2!$A$1:$B$31,2,0)</f>
        <v>6</v>
      </c>
      <c r="B7" s="3" t="s">
        <v>13</v>
      </c>
      <c r="C7" s="3">
        <v>2000</v>
      </c>
      <c r="D7" s="3">
        <v>5880</v>
      </c>
      <c r="E7" s="3">
        <v>5195.6</v>
      </c>
      <c r="F7" s="3">
        <f ca="1" t="shared" si="0"/>
        <v>11075.6</v>
      </c>
      <c r="G7" s="3">
        <v>4669.06</v>
      </c>
      <c r="H7" s="3">
        <f ca="1" t="shared" si="1"/>
        <v>2.37212629522859</v>
      </c>
    </row>
    <row r="8" hidden="1" spans="1:8">
      <c r="A8" s="3">
        <f>VLOOKUP(B8,Sheet2!$A$1:$B$31,2,0)</f>
        <v>7</v>
      </c>
      <c r="B8" s="3" t="s">
        <v>14</v>
      </c>
      <c r="C8" s="3">
        <v>2000</v>
      </c>
      <c r="D8" s="3">
        <v>2236.71</v>
      </c>
      <c r="E8" s="3">
        <v>2651.19</v>
      </c>
      <c r="F8" s="3">
        <f ca="1" t="shared" si="0"/>
        <v>4887.9</v>
      </c>
      <c r="G8" s="3">
        <v>1751.35</v>
      </c>
      <c r="H8" s="3">
        <f ca="1" t="shared" si="1"/>
        <v>2.79093270905302</v>
      </c>
    </row>
    <row r="9" hidden="1" spans="1:8">
      <c r="A9" s="3">
        <f>VLOOKUP(B9,Sheet2!$A$1:$B$31,2,0)</f>
        <v>8</v>
      </c>
      <c r="B9" s="3" t="s">
        <v>15</v>
      </c>
      <c r="C9" s="3">
        <v>2000</v>
      </c>
      <c r="D9" s="3">
        <v>3333.4</v>
      </c>
      <c r="E9" s="3">
        <v>3145.1</v>
      </c>
      <c r="F9" s="3">
        <f ca="1" t="shared" si="0"/>
        <v>6478.5</v>
      </c>
      <c r="G9" s="3">
        <v>2855.5</v>
      </c>
      <c r="H9" s="3">
        <f ca="1" t="shared" si="1"/>
        <v>2.26877954824024</v>
      </c>
    </row>
    <row r="10" hidden="1" spans="1:8">
      <c r="A10" s="3">
        <f>VLOOKUP(B10,Sheet2!$A$1:$B$31,2,0)</f>
        <v>9</v>
      </c>
      <c r="B10" s="3" t="s">
        <v>16</v>
      </c>
      <c r="C10" s="3">
        <v>2000</v>
      </c>
      <c r="D10" s="3">
        <v>9349.83</v>
      </c>
      <c r="E10" s="3">
        <v>7254.26</v>
      </c>
      <c r="F10" s="3">
        <f ca="1" t="shared" si="0"/>
        <v>16604.09</v>
      </c>
      <c r="G10" s="3">
        <v>4812.15</v>
      </c>
      <c r="H10" s="3">
        <f ca="1" t="shared" si="1"/>
        <v>3.45045146140499</v>
      </c>
    </row>
    <row r="11" hidden="1" spans="1:8">
      <c r="A11" s="3">
        <f>VLOOKUP(B11,Sheet2!$A$1:$B$31,2,0)</f>
        <v>10</v>
      </c>
      <c r="B11" s="3" t="s">
        <v>17</v>
      </c>
      <c r="C11" s="3">
        <v>2000</v>
      </c>
      <c r="D11" s="3">
        <v>8400.75</v>
      </c>
      <c r="E11" s="3">
        <v>5967.66</v>
      </c>
      <c r="F11" s="3">
        <f ca="1" t="shared" si="0"/>
        <v>14368.41</v>
      </c>
      <c r="G11" s="3">
        <v>8553.69</v>
      </c>
      <c r="H11" s="3">
        <f ca="1" t="shared" si="1"/>
        <v>1.67979082711672</v>
      </c>
    </row>
    <row r="12" hidden="1" spans="1:8">
      <c r="A12" s="3">
        <f>VLOOKUP(B12,Sheet2!$A$1:$B$31,2,0)</f>
        <v>11</v>
      </c>
      <c r="B12" s="3" t="s">
        <v>18</v>
      </c>
      <c r="C12" s="3">
        <v>2000</v>
      </c>
      <c r="D12" s="3">
        <v>7299.6</v>
      </c>
      <c r="E12" s="3">
        <v>5423.5</v>
      </c>
      <c r="F12" s="3">
        <f ca="1" t="shared" si="0"/>
        <v>12723.1</v>
      </c>
      <c r="G12" s="3">
        <v>6164.79</v>
      </c>
      <c r="H12" s="3">
        <f ca="1" t="shared" si="1"/>
        <v>2.06383348013477</v>
      </c>
    </row>
    <row r="13" hidden="1" spans="1:8">
      <c r="A13" s="3">
        <f>VLOOKUP(B13,Sheet2!$A$1:$B$31,2,0)</f>
        <v>12</v>
      </c>
      <c r="B13" s="3" t="s">
        <v>19</v>
      </c>
      <c r="C13" s="3">
        <v>2000</v>
      </c>
      <c r="D13" s="3">
        <v>2485.54</v>
      </c>
      <c r="E13" s="3">
        <v>2384.95</v>
      </c>
      <c r="F13" s="3">
        <f ca="1" t="shared" si="0"/>
        <v>4870.49</v>
      </c>
      <c r="G13" s="3">
        <v>3125.33</v>
      </c>
      <c r="H13" s="3">
        <f ca="1" t="shared" si="1"/>
        <v>1.55839223378011</v>
      </c>
    </row>
    <row r="14" hidden="1" spans="1:8">
      <c r="A14" s="3">
        <f>VLOOKUP(B14,Sheet2!$A$1:$B$31,2,0)</f>
        <v>13</v>
      </c>
      <c r="B14" s="3" t="s">
        <v>20</v>
      </c>
      <c r="C14" s="3">
        <v>2000</v>
      </c>
      <c r="D14" s="3">
        <v>3114.32</v>
      </c>
      <c r="E14" s="3">
        <v>2438.82</v>
      </c>
      <c r="F14" s="3">
        <f ca="1" t="shared" si="0"/>
        <v>5553.14</v>
      </c>
      <c r="G14" s="3">
        <v>3764.54</v>
      </c>
      <c r="H14" s="3">
        <f ca="1" t="shared" si="1"/>
        <v>1.4751178098785</v>
      </c>
    </row>
    <row r="15" hidden="1" spans="1:8">
      <c r="A15" s="3">
        <f>VLOOKUP(B15,Sheet2!$A$1:$B$31,2,0)</f>
        <v>14</v>
      </c>
      <c r="B15" s="3" t="s">
        <v>21</v>
      </c>
      <c r="C15" s="3">
        <v>2000</v>
      </c>
      <c r="D15" s="3">
        <v>1966.78</v>
      </c>
      <c r="E15" s="3">
        <v>1739.87</v>
      </c>
      <c r="F15" s="3">
        <f ca="1" t="shared" si="0"/>
        <v>3706.65</v>
      </c>
      <c r="G15" s="3">
        <v>2003.07</v>
      </c>
      <c r="H15" s="3">
        <f ca="1" t="shared" si="1"/>
        <v>1.85048450628286</v>
      </c>
    </row>
    <row r="16" hidden="1" spans="1:8">
      <c r="A16" s="3">
        <f>VLOOKUP(B16,Sheet2!$A$1:$B$31,2,0)</f>
        <v>15</v>
      </c>
      <c r="B16" s="3" t="s">
        <v>22</v>
      </c>
      <c r="C16" s="3">
        <v>2000</v>
      </c>
      <c r="D16" s="3">
        <v>7471.2</v>
      </c>
      <c r="E16" s="3">
        <v>6209</v>
      </c>
      <c r="F16" s="3">
        <f ca="1" t="shared" si="0"/>
        <v>13680.2</v>
      </c>
      <c r="G16" s="3">
        <v>8278.06</v>
      </c>
      <c r="H16" s="3">
        <f ca="1" t="shared" si="1"/>
        <v>1.65258526756269</v>
      </c>
    </row>
    <row r="17" hidden="1" spans="1:8">
      <c r="A17" s="3">
        <f>VLOOKUP(B17,Sheet2!$A$1:$B$31,2,0)</f>
        <v>16</v>
      </c>
      <c r="B17" s="3" t="s">
        <v>23</v>
      </c>
      <c r="C17" s="3">
        <v>2000</v>
      </c>
      <c r="D17" s="3">
        <v>4753.41</v>
      </c>
      <c r="E17" s="3">
        <v>4356.94</v>
      </c>
      <c r="F17" s="3">
        <f ca="1" t="shared" si="0"/>
        <v>9110.35</v>
      </c>
      <c r="G17" s="3">
        <v>5052.99</v>
      </c>
      <c r="H17" s="3">
        <f ca="1" t="shared" si="1"/>
        <v>1.80296220653514</v>
      </c>
    </row>
    <row r="18" hidden="1" spans="1:8">
      <c r="A18" s="3">
        <f>VLOOKUP(B18,Sheet2!$A$1:$B$31,2,0)</f>
        <v>17</v>
      </c>
      <c r="B18" s="3" t="s">
        <v>24</v>
      </c>
      <c r="C18" s="3">
        <v>2000</v>
      </c>
      <c r="D18" s="3">
        <v>3572.33</v>
      </c>
      <c r="E18" s="3">
        <v>3493.91</v>
      </c>
      <c r="F18" s="3">
        <f ca="1" t="shared" si="0"/>
        <v>7066.24</v>
      </c>
      <c r="G18" s="3">
        <v>3545.39</v>
      </c>
      <c r="H18" s="3">
        <f ca="1" t="shared" si="1"/>
        <v>1.99307833552867</v>
      </c>
    </row>
    <row r="19" hidden="1" spans="1:8">
      <c r="A19" s="3">
        <f>VLOOKUP(B19,Sheet2!$A$1:$B$31,2,0)</f>
        <v>18</v>
      </c>
      <c r="B19" s="3" t="s">
        <v>25</v>
      </c>
      <c r="C19" s="3">
        <v>2000</v>
      </c>
      <c r="D19" s="3">
        <v>2874.75</v>
      </c>
      <c r="E19" s="3">
        <v>2810.28</v>
      </c>
      <c r="F19" s="3">
        <f ca="1" t="shared" si="0"/>
        <v>5685.03</v>
      </c>
      <c r="G19" s="3">
        <v>3551.49</v>
      </c>
      <c r="H19" s="3">
        <f ca="1" t="shared" si="1"/>
        <v>1.600745039406</v>
      </c>
    </row>
    <row r="20" hidden="1" spans="1:8">
      <c r="A20" s="3">
        <f>VLOOKUP(B20,Sheet2!$A$1:$B$31,2,0)</f>
        <v>19</v>
      </c>
      <c r="B20" s="3" t="s">
        <v>26</v>
      </c>
      <c r="C20" s="3">
        <v>2000</v>
      </c>
      <c r="D20" s="3">
        <v>19083.6</v>
      </c>
      <c r="E20" s="3">
        <v>16920</v>
      </c>
      <c r="F20" s="3">
        <f ca="1" t="shared" si="0"/>
        <v>36003.6</v>
      </c>
      <c r="G20" s="3">
        <v>10810.2</v>
      </c>
      <c r="H20" s="3">
        <f ca="1" t="shared" si="1"/>
        <v>3.33052117444636</v>
      </c>
    </row>
    <row r="21" hidden="1" spans="1:8">
      <c r="A21" s="3">
        <f>VLOOKUP(B21,Sheet2!$A$1:$B$31,2,0)</f>
        <v>20</v>
      </c>
      <c r="B21" s="3" t="s">
        <v>27</v>
      </c>
      <c r="C21" s="3">
        <v>2000</v>
      </c>
      <c r="D21" s="3">
        <v>2269.06</v>
      </c>
      <c r="E21" s="3">
        <v>1613.25</v>
      </c>
      <c r="F21" s="3">
        <f ca="1" t="shared" si="0"/>
        <v>3882.31</v>
      </c>
      <c r="G21" s="3">
        <v>2080.04</v>
      </c>
      <c r="H21" s="3">
        <f ca="1" t="shared" si="1"/>
        <v>1.86645929885964</v>
      </c>
    </row>
    <row r="22" hidden="1" spans="1:8">
      <c r="A22" s="3">
        <f>VLOOKUP(B22,Sheet2!$A$1:$B$31,2,0)</f>
        <v>21</v>
      </c>
      <c r="B22" s="3" t="s">
        <v>28</v>
      </c>
      <c r="C22" s="3">
        <v>2000</v>
      </c>
      <c r="D22" s="3">
        <v>889.65</v>
      </c>
      <c r="E22" s="3">
        <v>625.13</v>
      </c>
      <c r="F22" s="3">
        <f ca="1" t="shared" si="0"/>
        <v>1514.78</v>
      </c>
      <c r="G22" s="3">
        <v>526.82</v>
      </c>
      <c r="H22" s="3">
        <f ca="1" t="shared" si="1"/>
        <v>2.87532743631601</v>
      </c>
    </row>
    <row r="23" hidden="1" spans="1:8">
      <c r="A23" s="3">
        <f>VLOOKUP(B23,Sheet2!$A$1:$B$31,2,0)</f>
        <v>22</v>
      </c>
      <c r="B23" s="3" t="s">
        <v>29</v>
      </c>
      <c r="C23" s="3">
        <v>2000</v>
      </c>
      <c r="D23" s="3">
        <v>1982.21</v>
      </c>
      <c r="E23" s="3">
        <v>1966.4</v>
      </c>
      <c r="F23" s="3">
        <f ca="1" t="shared" si="0"/>
        <v>3948.61</v>
      </c>
      <c r="G23" s="3">
        <v>1822.06</v>
      </c>
      <c r="H23" s="3">
        <f ca="1" t="shared" si="1"/>
        <v>2.1671130478689</v>
      </c>
    </row>
    <row r="24" hidden="1" spans="1:8">
      <c r="A24" s="3">
        <f>VLOOKUP(B24,Sheet2!$A$1:$B$31,2,0)</f>
        <v>23</v>
      </c>
      <c r="B24" s="3" t="s">
        <v>30</v>
      </c>
      <c r="C24" s="3">
        <v>2000</v>
      </c>
      <c r="D24" s="3">
        <v>4513.2</v>
      </c>
      <c r="E24" s="3">
        <v>4053.46</v>
      </c>
      <c r="F24" s="3">
        <f ca="1" t="shared" si="0"/>
        <v>8566.66</v>
      </c>
      <c r="G24" s="3">
        <v>3928.2</v>
      </c>
      <c r="H24" s="3">
        <f ca="1" t="shared" si="1"/>
        <v>2.18081054936103</v>
      </c>
    </row>
    <row r="25" hidden="1" spans="1:8">
      <c r="A25" s="3">
        <f>VLOOKUP(B25,Sheet2!$A$1:$B$31,2,0)</f>
        <v>24</v>
      </c>
      <c r="B25" s="3" t="s">
        <v>31</v>
      </c>
      <c r="C25" s="3">
        <v>2000</v>
      </c>
      <c r="D25" s="3">
        <v>1106.64</v>
      </c>
      <c r="E25" s="3">
        <v>1064.82</v>
      </c>
      <c r="F25" s="3">
        <f ca="1" t="shared" si="0"/>
        <v>2171.46</v>
      </c>
      <c r="G25" s="3">
        <v>1029.92</v>
      </c>
      <c r="H25" s="3">
        <f ca="1" t="shared" si="1"/>
        <v>2.10837734969706</v>
      </c>
    </row>
    <row r="26" hidden="1" spans="1:8">
      <c r="A26" s="3">
        <f>VLOOKUP(B26,Sheet2!$A$1:$B$31,2,0)</f>
        <v>25</v>
      </c>
      <c r="B26" s="3" t="s">
        <v>32</v>
      </c>
      <c r="C26" s="3">
        <v>2000</v>
      </c>
      <c r="D26" s="3">
        <v>2465.68</v>
      </c>
      <c r="E26" s="3">
        <v>1987.83</v>
      </c>
      <c r="F26" s="3">
        <f ca="1" t="shared" si="0"/>
        <v>4453.51</v>
      </c>
      <c r="G26" s="3">
        <v>2030.08</v>
      </c>
      <c r="H26" s="3">
        <f ca="1" t="shared" si="1"/>
        <v>2.19376083701135</v>
      </c>
    </row>
    <row r="27" hidden="1" spans="1:8">
      <c r="A27" s="3">
        <f>VLOOKUP(B27,Sheet2!$A$1:$B$31,2,0)</f>
        <v>26</v>
      </c>
      <c r="B27" s="3" t="s">
        <v>33</v>
      </c>
      <c r="C27" s="3">
        <v>2000</v>
      </c>
      <c r="D27" s="3">
        <v>144.98</v>
      </c>
      <c r="E27" s="3">
        <v>80.62</v>
      </c>
      <c r="F27" s="3">
        <f ca="1" t="shared" si="0"/>
        <v>225.6</v>
      </c>
      <c r="G27" s="3">
        <v>117.8</v>
      </c>
      <c r="H27" s="3">
        <f ca="1" t="shared" si="1"/>
        <v>1.9151103565365</v>
      </c>
    </row>
    <row r="28" hidden="1" spans="1:8">
      <c r="A28" s="3">
        <f>VLOOKUP(B28,Sheet2!$A$1:$B$31,2,0)</f>
        <v>27</v>
      </c>
      <c r="B28" s="3" t="s">
        <v>34</v>
      </c>
      <c r="C28" s="3">
        <v>2000</v>
      </c>
      <c r="D28" s="3">
        <v>2663</v>
      </c>
      <c r="E28" s="3">
        <v>2193.12</v>
      </c>
      <c r="F28" s="3">
        <f ca="1" t="shared" si="0"/>
        <v>4856.12</v>
      </c>
      <c r="G28" s="3">
        <v>1804</v>
      </c>
      <c r="H28" s="3">
        <f ca="1" t="shared" si="1"/>
        <v>2.69186252771619</v>
      </c>
    </row>
    <row r="29" hidden="1" spans="1:8">
      <c r="A29" s="3">
        <f>VLOOKUP(B29,Sheet2!$A$1:$B$31,2,0)</f>
        <v>28</v>
      </c>
      <c r="B29" s="3" t="s">
        <v>35</v>
      </c>
      <c r="C29" s="3">
        <v>2000</v>
      </c>
      <c r="D29" s="3">
        <v>1402.93</v>
      </c>
      <c r="E29" s="3">
        <v>1171.14</v>
      </c>
      <c r="F29" s="3">
        <f ca="1" t="shared" si="0"/>
        <v>2574.07</v>
      </c>
      <c r="G29" s="3">
        <v>1052.88</v>
      </c>
      <c r="H29" s="3">
        <f ca="1" t="shared" si="1"/>
        <v>2.444789529671</v>
      </c>
    </row>
    <row r="30" hidden="1" spans="1:8">
      <c r="A30" s="3">
        <f>VLOOKUP(B30,Sheet2!$A$1:$B$31,2,0)</f>
        <v>29</v>
      </c>
      <c r="B30" s="3" t="s">
        <v>36</v>
      </c>
      <c r="C30" s="3">
        <v>2000</v>
      </c>
      <c r="D30" s="3">
        <v>280.17</v>
      </c>
      <c r="E30" s="3">
        <v>348.57</v>
      </c>
      <c r="F30" s="3">
        <f ca="1" t="shared" si="0"/>
        <v>628.74</v>
      </c>
      <c r="G30" s="3">
        <v>263.68</v>
      </c>
      <c r="H30" s="3">
        <f ca="1" t="shared" si="1"/>
        <v>2.38448118932039</v>
      </c>
    </row>
    <row r="31" hidden="1" spans="1:8">
      <c r="A31" s="3">
        <f>VLOOKUP(B31,Sheet2!$A$1:$B$31,2,0)</f>
        <v>30</v>
      </c>
      <c r="B31" s="3" t="s">
        <v>37</v>
      </c>
      <c r="C31" s="3">
        <v>2000</v>
      </c>
      <c r="D31" s="3">
        <v>396.49</v>
      </c>
      <c r="E31" s="3">
        <v>383.23</v>
      </c>
      <c r="F31" s="3">
        <f ca="1" t="shared" si="0"/>
        <v>779.72</v>
      </c>
      <c r="G31" s="3">
        <v>295.02</v>
      </c>
      <c r="H31" s="3">
        <f ca="1" t="shared" si="1"/>
        <v>2.64293946173141</v>
      </c>
    </row>
    <row r="32" hidden="1" spans="1:8">
      <c r="A32" s="3">
        <f>VLOOKUP(B32,Sheet2!$A$1:$B$31,2,0)</f>
        <v>31</v>
      </c>
      <c r="B32" s="3" t="s">
        <v>38</v>
      </c>
      <c r="C32" s="3">
        <v>2000</v>
      </c>
      <c r="D32" s="3">
        <v>1863.48</v>
      </c>
      <c r="E32" s="3">
        <v>1403.13</v>
      </c>
      <c r="F32" s="3">
        <f ca="1" t="shared" si="0"/>
        <v>3266.61</v>
      </c>
      <c r="G32" s="3">
        <v>1363.56</v>
      </c>
      <c r="H32" s="3">
        <f ca="1" t="shared" si="1"/>
        <v>2.39564815629675</v>
      </c>
    </row>
    <row r="33" hidden="1" spans="1:8">
      <c r="A33" s="3">
        <f>VLOOKUP(B33,Sheet2!$A$1:$B$31,2,0)</f>
        <v>1</v>
      </c>
      <c r="B33" s="3" t="s">
        <v>8</v>
      </c>
      <c r="C33" s="3">
        <v>2001</v>
      </c>
      <c r="D33" s="3">
        <v>14109.2</v>
      </c>
      <c r="E33" s="3">
        <v>7612.2</v>
      </c>
      <c r="F33" s="3">
        <f ca="1" t="shared" si="0"/>
        <v>21721.4</v>
      </c>
      <c r="G33" s="3">
        <v>3861.5</v>
      </c>
      <c r="H33" s="3">
        <f ca="1" t="shared" si="1"/>
        <v>5.62511977210928</v>
      </c>
    </row>
    <row r="34" hidden="1" spans="1:8">
      <c r="A34" s="3">
        <f>VLOOKUP(B34,Sheet2!$A$1:$B$31,2,0)</f>
        <v>2</v>
      </c>
      <c r="B34" s="3" t="s">
        <v>9</v>
      </c>
      <c r="C34" s="3">
        <v>2001</v>
      </c>
      <c r="D34" s="3">
        <v>2562.55</v>
      </c>
      <c r="E34" s="3">
        <v>2159.86</v>
      </c>
      <c r="F34" s="3">
        <f ca="1" t="shared" si="0"/>
        <v>4722.41</v>
      </c>
      <c r="G34" s="3">
        <v>1756.9</v>
      </c>
      <c r="H34" s="3">
        <f ca="1" t="shared" si="1"/>
        <v>2.68792190790597</v>
      </c>
    </row>
    <row r="35" spans="1:8">
      <c r="A35" s="3">
        <f>VLOOKUP(B35,Sheet2!$A$1:$B$31,2,0)</f>
        <v>3</v>
      </c>
      <c r="B35" s="3" t="s">
        <v>10</v>
      </c>
      <c r="C35" s="3">
        <v>2001</v>
      </c>
      <c r="D35" s="3">
        <v>4053.75</v>
      </c>
      <c r="E35" s="3">
        <v>3098.89</v>
      </c>
      <c r="F35" s="3">
        <f ca="1" t="shared" si="0"/>
        <v>7152.64</v>
      </c>
      <c r="G35" s="3">
        <v>5062.9</v>
      </c>
      <c r="H35" s="3">
        <f ca="1" t="shared" si="1"/>
        <v>1.41275553536511</v>
      </c>
    </row>
    <row r="36" hidden="1" spans="1:8">
      <c r="A36" s="3">
        <f>VLOOKUP(B36,Sheet2!$A$1:$B$31,2,0)</f>
        <v>4</v>
      </c>
      <c r="B36" s="3" t="s">
        <v>11</v>
      </c>
      <c r="C36" s="3">
        <v>2001</v>
      </c>
      <c r="D36" s="3">
        <v>3090.73</v>
      </c>
      <c r="E36" s="3">
        <v>2408.4</v>
      </c>
      <c r="F36" s="3">
        <f ca="1" t="shared" si="0"/>
        <v>5499.13</v>
      </c>
      <c r="G36" s="3">
        <v>2029.53</v>
      </c>
      <c r="H36" s="3">
        <f ca="1" t="shared" si="1"/>
        <v>2.70955837065725</v>
      </c>
    </row>
    <row r="37" hidden="1" spans="1:8">
      <c r="A37" s="3">
        <f>VLOOKUP(B37,Sheet2!$A$1:$B$31,2,0)</f>
        <v>5</v>
      </c>
      <c r="B37" s="3" t="s">
        <v>12</v>
      </c>
      <c r="C37" s="3">
        <v>2001</v>
      </c>
      <c r="D37" s="3">
        <v>1498.79</v>
      </c>
      <c r="E37" s="3">
        <v>1470.75</v>
      </c>
      <c r="F37" s="3">
        <f ca="1" t="shared" si="0"/>
        <v>2969.54</v>
      </c>
      <c r="G37" s="3">
        <v>1713.81</v>
      </c>
      <c r="H37" s="3">
        <f ca="1" t="shared" si="1"/>
        <v>1.73271249438386</v>
      </c>
    </row>
    <row r="38" hidden="1" spans="1:8">
      <c r="A38" s="3">
        <f>VLOOKUP(B38,Sheet2!$A$1:$B$31,2,0)</f>
        <v>6</v>
      </c>
      <c r="B38" s="3" t="s">
        <v>13</v>
      </c>
      <c r="C38" s="3">
        <v>2001</v>
      </c>
      <c r="D38" s="3">
        <v>6591.4</v>
      </c>
      <c r="E38" s="3">
        <v>5597.4</v>
      </c>
      <c r="F38" s="3">
        <f ca="1" t="shared" si="0"/>
        <v>12188.8</v>
      </c>
      <c r="G38" s="3">
        <v>5033.08</v>
      </c>
      <c r="H38" s="3">
        <f ca="1" t="shared" si="1"/>
        <v>2.4217377828288</v>
      </c>
    </row>
    <row r="39" hidden="1" spans="1:8">
      <c r="A39" s="3">
        <f>VLOOKUP(B39,Sheet2!$A$1:$B$31,2,0)</f>
        <v>7</v>
      </c>
      <c r="B39" s="3" t="s">
        <v>14</v>
      </c>
      <c r="C39" s="3">
        <v>2001</v>
      </c>
      <c r="D39" s="3">
        <v>2484.23</v>
      </c>
      <c r="E39" s="3">
        <v>2828.25</v>
      </c>
      <c r="F39" s="3">
        <f ca="1" t="shared" si="0"/>
        <v>5312.48</v>
      </c>
      <c r="G39" s="3">
        <v>1900.85</v>
      </c>
      <c r="H39" s="3">
        <f ca="1" t="shared" si="1"/>
        <v>2.79479180366678</v>
      </c>
    </row>
    <row r="40" hidden="1" spans="1:8">
      <c r="A40" s="3">
        <f>VLOOKUP(B40,Sheet2!$A$1:$B$31,2,0)</f>
        <v>8</v>
      </c>
      <c r="B40" s="3" t="s">
        <v>15</v>
      </c>
      <c r="C40" s="3">
        <v>2001</v>
      </c>
      <c r="D40" s="3">
        <v>3742.1</v>
      </c>
      <c r="E40" s="3">
        <v>3358.6</v>
      </c>
      <c r="F40" s="3">
        <f ca="1" t="shared" si="0"/>
        <v>7100.7</v>
      </c>
      <c r="G40" s="3">
        <v>3043.4</v>
      </c>
      <c r="H40" s="3">
        <f ca="1" t="shared" si="1"/>
        <v>2.33314713806926</v>
      </c>
    </row>
    <row r="41" hidden="1" spans="1:8">
      <c r="A41" s="3">
        <f>VLOOKUP(B41,Sheet2!$A$1:$B$31,2,0)</f>
        <v>9</v>
      </c>
      <c r="B41" s="3" t="s">
        <v>16</v>
      </c>
      <c r="C41" s="3">
        <v>2001</v>
      </c>
      <c r="D41" s="3">
        <v>11247.9</v>
      </c>
      <c r="E41" s="3">
        <v>8543.02</v>
      </c>
      <c r="F41" s="3">
        <f ca="1" t="shared" si="0"/>
        <v>19790.92</v>
      </c>
      <c r="G41" s="3">
        <v>5257.66</v>
      </c>
      <c r="H41" s="3">
        <f ca="1" t="shared" si="1"/>
        <v>3.76420689051783</v>
      </c>
    </row>
    <row r="42" hidden="1" spans="1:8">
      <c r="A42" s="3">
        <f>VLOOKUP(B42,Sheet2!$A$1:$B$31,2,0)</f>
        <v>10</v>
      </c>
      <c r="B42" s="3" t="s">
        <v>17</v>
      </c>
      <c r="C42" s="3">
        <v>2001</v>
      </c>
      <c r="D42" s="3">
        <v>9700.68</v>
      </c>
      <c r="E42" s="3">
        <v>6671.74</v>
      </c>
      <c r="F42" s="3">
        <f ca="1" t="shared" si="0"/>
        <v>16372.42</v>
      </c>
      <c r="G42" s="3">
        <v>9456.84</v>
      </c>
      <c r="H42" s="3">
        <f ca="1" t="shared" si="1"/>
        <v>1.73127810135309</v>
      </c>
    </row>
    <row r="43" hidden="1" spans="1:8">
      <c r="A43" s="3">
        <f>VLOOKUP(B43,Sheet2!$A$1:$B$31,2,0)</f>
        <v>11</v>
      </c>
      <c r="B43" s="3" t="s">
        <v>18</v>
      </c>
      <c r="C43" s="3">
        <v>2001</v>
      </c>
      <c r="D43" s="3">
        <v>8823.1</v>
      </c>
      <c r="E43" s="3">
        <v>6482.2</v>
      </c>
      <c r="F43" s="3">
        <f ca="1" t="shared" si="0"/>
        <v>15305.3</v>
      </c>
      <c r="G43" s="3">
        <v>6927.7</v>
      </c>
      <c r="H43" s="3">
        <f ca="1" t="shared" si="1"/>
        <v>2.2092902406282</v>
      </c>
    </row>
    <row r="44" hidden="1" spans="1:8">
      <c r="A44" s="3">
        <f>VLOOKUP(B44,Sheet2!$A$1:$B$31,2,0)</f>
        <v>12</v>
      </c>
      <c r="B44" s="3" t="s">
        <v>19</v>
      </c>
      <c r="C44" s="3">
        <v>2001</v>
      </c>
      <c r="D44" s="3">
        <v>2907.33</v>
      </c>
      <c r="E44" s="3">
        <v>2605.39</v>
      </c>
      <c r="F44" s="3">
        <f ca="1" t="shared" si="0"/>
        <v>5512.72</v>
      </c>
      <c r="G44" s="3">
        <v>3502.78</v>
      </c>
      <c r="H44" s="3">
        <f ca="1" t="shared" si="1"/>
        <v>1.57381280011876</v>
      </c>
    </row>
    <row r="45" hidden="1" spans="1:8">
      <c r="A45" s="3">
        <f>VLOOKUP(B45,Sheet2!$A$1:$B$31,2,0)</f>
        <v>13</v>
      </c>
      <c r="B45" s="3" t="s">
        <v>20</v>
      </c>
      <c r="C45" s="3">
        <v>2001</v>
      </c>
      <c r="D45" s="3">
        <v>3614.26</v>
      </c>
      <c r="E45" s="3">
        <v>2864.76</v>
      </c>
      <c r="F45" s="3">
        <f ca="1" t="shared" si="0"/>
        <v>6479.02</v>
      </c>
      <c r="G45" s="3">
        <v>4072.85</v>
      </c>
      <c r="H45" s="3">
        <f ca="1" t="shared" si="1"/>
        <v>1.59078286703414</v>
      </c>
    </row>
    <row r="46" hidden="1" spans="1:8">
      <c r="A46" s="3">
        <f>VLOOKUP(B46,Sheet2!$A$1:$B$31,2,0)</f>
        <v>14</v>
      </c>
      <c r="B46" s="3" t="s">
        <v>21</v>
      </c>
      <c r="C46" s="3">
        <v>2001</v>
      </c>
      <c r="D46" s="3">
        <v>2286.65</v>
      </c>
      <c r="E46" s="3">
        <v>1880.94</v>
      </c>
      <c r="F46" s="3">
        <f ca="1" t="shared" si="0"/>
        <v>4167.59</v>
      </c>
      <c r="G46" s="3">
        <v>2175.68</v>
      </c>
      <c r="H46" s="3">
        <f ca="1" t="shared" si="1"/>
        <v>1.91553445359612</v>
      </c>
    </row>
    <row r="47" hidden="1" spans="1:8">
      <c r="A47" s="3">
        <f>VLOOKUP(B47,Sheet2!$A$1:$B$31,2,0)</f>
        <v>15</v>
      </c>
      <c r="B47" s="3" t="s">
        <v>22</v>
      </c>
      <c r="C47" s="3">
        <v>2001</v>
      </c>
      <c r="D47" s="3">
        <v>8501.7</v>
      </c>
      <c r="E47" s="3">
        <v>7017.7</v>
      </c>
      <c r="F47" s="3">
        <f ca="1" t="shared" si="0"/>
        <v>15519.4</v>
      </c>
      <c r="G47" s="3">
        <v>9076.22</v>
      </c>
      <c r="H47" s="3">
        <f ca="1" t="shared" si="1"/>
        <v>1.70989685133238</v>
      </c>
    </row>
    <row r="48" hidden="1" spans="1:8">
      <c r="A48" s="3">
        <f>VLOOKUP(B48,Sheet2!$A$1:$B$31,2,0)</f>
        <v>16</v>
      </c>
      <c r="B48" s="3" t="s">
        <v>23</v>
      </c>
      <c r="C48" s="3">
        <v>2001</v>
      </c>
      <c r="D48" s="3">
        <v>5530.16</v>
      </c>
      <c r="E48" s="3">
        <v>4885.73</v>
      </c>
      <c r="F48" s="3">
        <f ca="1" t="shared" si="0"/>
        <v>10415.89</v>
      </c>
      <c r="G48" s="3">
        <v>5533.01</v>
      </c>
      <c r="H48" s="3">
        <f ca="1" t="shared" si="1"/>
        <v>1.88249976052818</v>
      </c>
    </row>
    <row r="49" hidden="1" spans="1:8">
      <c r="A49" s="3">
        <f>VLOOKUP(B49,Sheet2!$A$1:$B$31,2,0)</f>
        <v>17</v>
      </c>
      <c r="B49" s="3" t="s">
        <v>24</v>
      </c>
      <c r="C49" s="3">
        <v>2001</v>
      </c>
      <c r="D49" s="3">
        <v>4238.47</v>
      </c>
      <c r="E49" s="3">
        <v>3787.25</v>
      </c>
      <c r="F49" s="3">
        <f ca="1" t="shared" si="0"/>
        <v>8025.72</v>
      </c>
      <c r="G49" s="3">
        <v>3880.53</v>
      </c>
      <c r="H49" s="3">
        <f ca="1" t="shared" si="1"/>
        <v>2.06820202395034</v>
      </c>
    </row>
    <row r="50" hidden="1" spans="1:8">
      <c r="A50" s="3">
        <f>VLOOKUP(B50,Sheet2!$A$1:$B$31,2,0)</f>
        <v>18</v>
      </c>
      <c r="B50" s="3" t="s">
        <v>25</v>
      </c>
      <c r="C50" s="3">
        <v>2001</v>
      </c>
      <c r="D50" s="3">
        <v>3342.91</v>
      </c>
      <c r="E50" s="3">
        <v>2787.92</v>
      </c>
      <c r="F50" s="3">
        <f ca="1" t="shared" si="0"/>
        <v>6130.83</v>
      </c>
      <c r="G50" s="3">
        <v>3831.9</v>
      </c>
      <c r="H50" s="3">
        <f ca="1" t="shared" si="1"/>
        <v>1.59994519689971</v>
      </c>
    </row>
    <row r="51" hidden="1" spans="1:8">
      <c r="A51" s="3">
        <f>VLOOKUP(B51,Sheet2!$A$1:$B$31,2,0)</f>
        <v>19</v>
      </c>
      <c r="B51" s="3" t="s">
        <v>26</v>
      </c>
      <c r="C51" s="3">
        <v>2001</v>
      </c>
      <c r="D51" s="3">
        <v>21714.8</v>
      </c>
      <c r="E51" s="3">
        <v>19449.3</v>
      </c>
      <c r="F51" s="3">
        <f ca="1" t="shared" si="0"/>
        <v>41164.1</v>
      </c>
      <c r="G51" s="3">
        <v>12126.6</v>
      </c>
      <c r="H51" s="3">
        <f ca="1" t="shared" si="1"/>
        <v>3.39452938168984</v>
      </c>
    </row>
    <row r="52" hidden="1" spans="1:8">
      <c r="A52" s="3">
        <f>VLOOKUP(B52,Sheet2!$A$1:$B$31,2,0)</f>
        <v>20</v>
      </c>
      <c r="B52" s="3" t="s">
        <v>27</v>
      </c>
      <c r="C52" s="3">
        <v>2001</v>
      </c>
      <c r="D52" s="3">
        <v>2518.94</v>
      </c>
      <c r="E52" s="3">
        <v>1764.05</v>
      </c>
      <c r="F52" s="3">
        <f ca="1" t="shared" si="0"/>
        <v>4282.99</v>
      </c>
      <c r="G52" s="3">
        <v>2279.34</v>
      </c>
      <c r="H52" s="3">
        <f ca="1" t="shared" si="1"/>
        <v>1.8790483210052</v>
      </c>
    </row>
    <row r="53" hidden="1" spans="1:8">
      <c r="A53" s="3">
        <f>VLOOKUP(B53,Sheet2!$A$1:$B$31,2,0)</f>
        <v>21</v>
      </c>
      <c r="B53" s="3" t="s">
        <v>28</v>
      </c>
      <c r="C53" s="3">
        <v>2001</v>
      </c>
      <c r="D53" s="3">
        <v>873.43</v>
      </c>
      <c r="E53" s="3">
        <v>638.74</v>
      </c>
      <c r="F53" s="3">
        <f ca="1" t="shared" si="0"/>
        <v>1512.17</v>
      </c>
      <c r="G53" s="3">
        <v>579.18</v>
      </c>
      <c r="H53" s="3">
        <f ca="1" t="shared" si="1"/>
        <v>2.61088090058358</v>
      </c>
    </row>
    <row r="54" hidden="1" spans="1:8">
      <c r="A54" s="3">
        <f>VLOOKUP(B54,Sheet2!$A$1:$B$31,2,0)</f>
        <v>22</v>
      </c>
      <c r="B54" s="3" t="s">
        <v>29</v>
      </c>
      <c r="C54" s="3">
        <v>2001</v>
      </c>
      <c r="D54" s="3">
        <v>2377.99</v>
      </c>
      <c r="E54" s="3">
        <v>1969.97</v>
      </c>
      <c r="F54" s="3">
        <f ca="1" t="shared" si="0"/>
        <v>4347.96</v>
      </c>
      <c r="G54" s="3">
        <v>2014.59</v>
      </c>
      <c r="H54" s="3">
        <f ca="1" t="shared" si="1"/>
        <v>2.15823567078165</v>
      </c>
    </row>
    <row r="55" hidden="1" spans="1:8">
      <c r="A55" s="3">
        <f>VLOOKUP(B55,Sheet2!$A$1:$B$31,2,0)</f>
        <v>23</v>
      </c>
      <c r="B55" s="3" t="s">
        <v>30</v>
      </c>
      <c r="C55" s="3">
        <v>2001</v>
      </c>
      <c r="D55" s="3">
        <v>5256.78</v>
      </c>
      <c r="E55" s="3">
        <v>4498.55</v>
      </c>
      <c r="F55" s="3">
        <f ca="1" t="shared" si="0"/>
        <v>9755.33</v>
      </c>
      <c r="G55" s="3">
        <v>4293.49</v>
      </c>
      <c r="H55" s="3">
        <f ca="1" t="shared" si="1"/>
        <v>2.27212128128865</v>
      </c>
    </row>
    <row r="56" hidden="1" spans="1:8">
      <c r="A56" s="3">
        <f>VLOOKUP(B56,Sheet2!$A$1:$B$31,2,0)</f>
        <v>24</v>
      </c>
      <c r="B56" s="3" t="s">
        <v>31</v>
      </c>
      <c r="C56" s="3">
        <v>2001</v>
      </c>
      <c r="D56" s="3">
        <v>1341.11</v>
      </c>
      <c r="E56" s="3">
        <v>1212.23</v>
      </c>
      <c r="F56" s="3">
        <f ca="1" t="shared" si="0"/>
        <v>2553.34</v>
      </c>
      <c r="G56" s="3">
        <v>1133.27</v>
      </c>
      <c r="H56" s="3">
        <f ca="1" t="shared" si="1"/>
        <v>2.25307296584221</v>
      </c>
    </row>
    <row r="57" hidden="1" spans="1:8">
      <c r="A57" s="3">
        <f>VLOOKUP(B57,Sheet2!$A$1:$B$31,2,0)</f>
        <v>25</v>
      </c>
      <c r="B57" s="3" t="s">
        <v>32</v>
      </c>
      <c r="C57" s="3">
        <v>2001</v>
      </c>
      <c r="D57" s="3">
        <v>2779.71</v>
      </c>
      <c r="E57" s="3">
        <v>2173.45</v>
      </c>
      <c r="F57" s="3">
        <f ca="1" t="shared" si="0"/>
        <v>4953.16</v>
      </c>
      <c r="G57" s="3">
        <v>2159</v>
      </c>
      <c r="H57" s="3">
        <f ca="1" t="shared" si="1"/>
        <v>2.29419175544233</v>
      </c>
    </row>
    <row r="58" hidden="1" spans="1:8">
      <c r="A58" s="3">
        <f>VLOOKUP(B58,Sheet2!$A$1:$B$31,2,0)</f>
        <v>26</v>
      </c>
      <c r="B58" s="3" t="s">
        <v>33</v>
      </c>
      <c r="C58" s="3">
        <v>2001</v>
      </c>
      <c r="D58" s="3">
        <v>212.9</v>
      </c>
      <c r="E58" s="3">
        <v>96.62</v>
      </c>
      <c r="F58" s="3">
        <f ca="1" t="shared" si="0"/>
        <v>309.52</v>
      </c>
      <c r="G58" s="3">
        <v>139.16</v>
      </c>
      <c r="H58" s="3">
        <f ca="1" t="shared" si="1"/>
        <v>2.22420235699914</v>
      </c>
    </row>
    <row r="59" hidden="1" spans="1:8">
      <c r="A59" s="3">
        <f>VLOOKUP(B59,Sheet2!$A$1:$B$31,2,0)</f>
        <v>27</v>
      </c>
      <c r="B59" s="3" t="s">
        <v>34</v>
      </c>
      <c r="C59" s="3">
        <v>2001</v>
      </c>
      <c r="D59" s="3">
        <v>3204.89</v>
      </c>
      <c r="E59" s="3">
        <v>2537.55</v>
      </c>
      <c r="F59" s="3">
        <f ca="1" t="shared" si="0"/>
        <v>5742.44</v>
      </c>
      <c r="G59" s="3">
        <v>2010.62</v>
      </c>
      <c r="H59" s="3">
        <f ca="1" t="shared" si="1"/>
        <v>2.8560543513941</v>
      </c>
    </row>
    <row r="60" hidden="1" spans="1:8">
      <c r="A60" s="3">
        <f>VLOOKUP(B60,Sheet2!$A$1:$B$31,2,0)</f>
        <v>28</v>
      </c>
      <c r="B60" s="3" t="s">
        <v>35</v>
      </c>
      <c r="C60" s="3">
        <v>2001</v>
      </c>
      <c r="D60" s="3">
        <v>1615.75</v>
      </c>
      <c r="E60" s="3">
        <v>1268.39</v>
      </c>
      <c r="F60" s="3">
        <f ca="1" t="shared" si="0"/>
        <v>2884.14</v>
      </c>
      <c r="G60" s="3">
        <v>1125.37</v>
      </c>
      <c r="H60" s="3">
        <f ca="1" t="shared" si="1"/>
        <v>2.56283711135005</v>
      </c>
    </row>
    <row r="61" hidden="1" spans="1:8">
      <c r="A61" s="3">
        <f>VLOOKUP(B61,Sheet2!$A$1:$B$31,2,0)</f>
        <v>29</v>
      </c>
      <c r="B61" s="3" t="s">
        <v>36</v>
      </c>
      <c r="C61" s="3">
        <v>2001</v>
      </c>
      <c r="D61" s="3">
        <v>347.01</v>
      </c>
      <c r="E61" s="3">
        <v>394.68</v>
      </c>
      <c r="F61" s="3">
        <f ca="1" t="shared" si="0"/>
        <v>741.69</v>
      </c>
      <c r="G61" s="3">
        <v>300.13</v>
      </c>
      <c r="H61" s="3">
        <f ca="1" t="shared" si="1"/>
        <v>2.47122913404192</v>
      </c>
    </row>
    <row r="62" hidden="1" spans="1:8">
      <c r="A62" s="3">
        <f>VLOOKUP(B62,Sheet2!$A$1:$B$31,2,0)</f>
        <v>30</v>
      </c>
      <c r="B62" s="3" t="s">
        <v>37</v>
      </c>
      <c r="C62" s="3">
        <v>2001</v>
      </c>
      <c r="D62" s="3">
        <v>468.87</v>
      </c>
      <c r="E62" s="3">
        <v>441.39</v>
      </c>
      <c r="F62" s="3">
        <f ca="1" t="shared" si="0"/>
        <v>910.26</v>
      </c>
      <c r="G62" s="3">
        <v>337.44</v>
      </c>
      <c r="H62" s="3">
        <f ca="1" t="shared" si="1"/>
        <v>2.69754623044097</v>
      </c>
    </row>
    <row r="63" hidden="1" spans="1:8">
      <c r="A63" s="3">
        <f>VLOOKUP(B63,Sheet2!$A$1:$B$31,2,0)</f>
        <v>31</v>
      </c>
      <c r="B63" s="3" t="s">
        <v>38</v>
      </c>
      <c r="C63" s="3">
        <v>2001</v>
      </c>
      <c r="D63" s="3">
        <v>1972.55</v>
      </c>
      <c r="E63" s="3">
        <v>1584.73</v>
      </c>
      <c r="F63" s="3">
        <f ca="1" t="shared" si="0"/>
        <v>3557.28</v>
      </c>
      <c r="G63" s="3">
        <v>1491.6</v>
      </c>
      <c r="H63" s="3">
        <f ca="1" t="shared" si="1"/>
        <v>2.38487530168946</v>
      </c>
    </row>
    <row r="64" hidden="1" spans="1:8">
      <c r="A64" s="3">
        <f>VLOOKUP(B64,Sheet2!$A$1:$B$31,2,0)</f>
        <v>1</v>
      </c>
      <c r="B64" s="3" t="s">
        <v>8</v>
      </c>
      <c r="C64" s="3">
        <v>2002</v>
      </c>
      <c r="D64" s="3">
        <v>17438.4</v>
      </c>
      <c r="E64" s="3">
        <v>9704.3</v>
      </c>
      <c r="F64" s="3">
        <f ca="1" t="shared" si="0"/>
        <v>27142.7</v>
      </c>
      <c r="G64" s="3">
        <v>4525.7</v>
      </c>
      <c r="H64" s="3">
        <f ca="1" t="shared" si="1"/>
        <v>5.9974589566255</v>
      </c>
    </row>
    <row r="65" hidden="1" spans="1:8">
      <c r="A65" s="3">
        <f>VLOOKUP(B65,Sheet2!$A$1:$B$31,2,0)</f>
        <v>2</v>
      </c>
      <c r="B65" s="3" t="s">
        <v>9</v>
      </c>
      <c r="C65" s="3">
        <v>2002</v>
      </c>
      <c r="D65" s="3">
        <v>3358.89</v>
      </c>
      <c r="E65" s="3">
        <v>2868.93</v>
      </c>
      <c r="F65" s="3">
        <f ca="1" t="shared" si="0"/>
        <v>6227.82</v>
      </c>
      <c r="G65" s="3">
        <v>1926.9</v>
      </c>
      <c r="H65" s="3">
        <f ca="1" t="shared" si="1"/>
        <v>3.23204110228865</v>
      </c>
    </row>
    <row r="66" spans="1:8">
      <c r="A66" s="3">
        <f>VLOOKUP(B66,Sheet2!$A$1:$B$31,2,0)</f>
        <v>3</v>
      </c>
      <c r="B66" s="3" t="s">
        <v>10</v>
      </c>
      <c r="C66" s="3">
        <v>2002</v>
      </c>
      <c r="D66" s="3">
        <v>4543.39</v>
      </c>
      <c r="E66" s="3">
        <v>3488.18</v>
      </c>
      <c r="F66" s="3">
        <f ca="1" t="shared" ref="F66:F129" si="2">D66+E66</f>
        <v>8031.57</v>
      </c>
      <c r="G66" s="3">
        <v>5518.9</v>
      </c>
      <c r="H66" s="3">
        <f ca="1" t="shared" ref="H66:H129" si="3">F66/G66</f>
        <v>1.45528456757687</v>
      </c>
    </row>
    <row r="67" hidden="1" spans="1:8">
      <c r="A67" s="3">
        <f>VLOOKUP(B67,Sheet2!$A$1:$B$31,2,0)</f>
        <v>4</v>
      </c>
      <c r="B67" s="3" t="s">
        <v>11</v>
      </c>
      <c r="C67" s="3">
        <v>2002</v>
      </c>
      <c r="D67" s="3">
        <v>3708.72</v>
      </c>
      <c r="E67" s="3">
        <v>2903.18</v>
      </c>
      <c r="F67" s="3">
        <f ca="1" t="shared" si="2"/>
        <v>6611.9</v>
      </c>
      <c r="G67" s="3">
        <v>2324.8</v>
      </c>
      <c r="H67" s="3">
        <f ca="1" t="shared" si="3"/>
        <v>2.84407260839642</v>
      </c>
    </row>
    <row r="68" hidden="1" spans="1:8">
      <c r="A68" s="3">
        <f>VLOOKUP(B68,Sheet2!$A$1:$B$31,2,0)</f>
        <v>5</v>
      </c>
      <c r="B68" s="3" t="s">
        <v>12</v>
      </c>
      <c r="C68" s="3">
        <v>2002</v>
      </c>
      <c r="D68" s="3">
        <v>1735.26</v>
      </c>
      <c r="E68" s="3">
        <v>1649.78</v>
      </c>
      <c r="F68" s="3">
        <f ca="1" t="shared" si="2"/>
        <v>3385.04</v>
      </c>
      <c r="G68" s="3">
        <v>1940.94</v>
      </c>
      <c r="H68" s="3">
        <f ca="1" t="shared" si="3"/>
        <v>1.74402093830824</v>
      </c>
    </row>
    <row r="69" hidden="1" spans="1:8">
      <c r="A69" s="3">
        <f>VLOOKUP(B69,Sheet2!$A$1:$B$31,2,0)</f>
        <v>6</v>
      </c>
      <c r="B69" s="3" t="s">
        <v>13</v>
      </c>
      <c r="C69" s="3">
        <v>2002</v>
      </c>
      <c r="D69" s="3">
        <v>7600.1</v>
      </c>
      <c r="E69" s="3">
        <v>6247.4</v>
      </c>
      <c r="F69" s="3">
        <f ca="1" t="shared" si="2"/>
        <v>13847.5</v>
      </c>
      <c r="G69" s="3">
        <v>5458.22</v>
      </c>
      <c r="H69" s="3">
        <f ca="1" t="shared" si="3"/>
        <v>2.53699924151097</v>
      </c>
    </row>
    <row r="70" hidden="1" spans="1:8">
      <c r="A70" s="3">
        <f>VLOOKUP(B70,Sheet2!$A$1:$B$31,2,0)</f>
        <v>7</v>
      </c>
      <c r="B70" s="3" t="s">
        <v>14</v>
      </c>
      <c r="C70" s="3">
        <v>2002</v>
      </c>
      <c r="D70" s="3">
        <v>2878.28</v>
      </c>
      <c r="E70" s="3">
        <v>3057.7</v>
      </c>
      <c r="F70" s="3">
        <f ca="1" t="shared" si="2"/>
        <v>5935.98</v>
      </c>
      <c r="G70" s="3">
        <v>2043.09</v>
      </c>
      <c r="H70" s="3">
        <f ca="1" t="shared" si="3"/>
        <v>2.905393301323</v>
      </c>
    </row>
    <row r="71" hidden="1" spans="1:8">
      <c r="A71" s="3">
        <f>VLOOKUP(B71,Sheet2!$A$1:$B$31,2,0)</f>
        <v>8</v>
      </c>
      <c r="B71" s="3" t="s">
        <v>15</v>
      </c>
      <c r="C71" s="3">
        <v>2002</v>
      </c>
      <c r="D71" s="3">
        <v>4236.7</v>
      </c>
      <c r="E71" s="3">
        <v>3624</v>
      </c>
      <c r="F71" s="3">
        <f ca="1" t="shared" si="2"/>
        <v>7860.7</v>
      </c>
      <c r="G71" s="3">
        <v>3242.7</v>
      </c>
      <c r="H71" s="3">
        <f ca="1" t="shared" si="3"/>
        <v>2.42412187374719</v>
      </c>
    </row>
    <row r="72" hidden="1" spans="1:8">
      <c r="A72" s="3">
        <f>VLOOKUP(B72,Sheet2!$A$1:$B$31,2,0)</f>
        <v>9</v>
      </c>
      <c r="B72" s="3" t="s">
        <v>16</v>
      </c>
      <c r="C72" s="3">
        <v>2002</v>
      </c>
      <c r="D72" s="3">
        <v>14035.8</v>
      </c>
      <c r="E72" s="3">
        <v>10550.9</v>
      </c>
      <c r="F72" s="3">
        <f ca="1" t="shared" si="2"/>
        <v>24586.7</v>
      </c>
      <c r="G72" s="3">
        <v>5795.02</v>
      </c>
      <c r="H72" s="3">
        <f ca="1" t="shared" si="3"/>
        <v>4.24272910188403</v>
      </c>
    </row>
    <row r="73" hidden="1" spans="1:8">
      <c r="A73" s="3">
        <f>VLOOKUP(B73,Sheet2!$A$1:$B$31,2,0)</f>
        <v>10</v>
      </c>
      <c r="B73" s="3" t="s">
        <v>17</v>
      </c>
      <c r="C73" s="3">
        <v>2002</v>
      </c>
      <c r="D73" s="3">
        <v>11881.2</v>
      </c>
      <c r="E73" s="3">
        <v>8234.58</v>
      </c>
      <c r="F73" s="3">
        <f ca="1" t="shared" si="2"/>
        <v>20115.78</v>
      </c>
      <c r="G73" s="3">
        <v>10606.8</v>
      </c>
      <c r="H73" s="3">
        <f ca="1" t="shared" si="3"/>
        <v>1.8964984726779</v>
      </c>
    </row>
    <row r="74" hidden="1" spans="1:8">
      <c r="A74" s="3">
        <f>VLOOKUP(B74,Sheet2!$A$1:$B$31,2,0)</f>
        <v>11</v>
      </c>
      <c r="B74" s="3" t="s">
        <v>18</v>
      </c>
      <c r="C74" s="3">
        <v>2002</v>
      </c>
      <c r="D74" s="3">
        <v>11899.3</v>
      </c>
      <c r="E74" s="3">
        <v>8791.38</v>
      </c>
      <c r="F74" s="3">
        <f ca="1" t="shared" si="2"/>
        <v>20690.68</v>
      </c>
      <c r="G74" s="3">
        <v>8040.66</v>
      </c>
      <c r="H74" s="3">
        <f ca="1" t="shared" si="3"/>
        <v>2.57325642422388</v>
      </c>
    </row>
    <row r="75" hidden="1" spans="1:8">
      <c r="A75" s="3">
        <f>VLOOKUP(B75,Sheet2!$A$1:$B$31,2,0)</f>
        <v>12</v>
      </c>
      <c r="B75" s="3" t="s">
        <v>19</v>
      </c>
      <c r="C75" s="3">
        <v>2002</v>
      </c>
      <c r="D75" s="3">
        <v>3449.23</v>
      </c>
      <c r="E75" s="3">
        <v>2941.59</v>
      </c>
      <c r="F75" s="3">
        <f ca="1" t="shared" si="2"/>
        <v>6390.82</v>
      </c>
      <c r="G75" s="3">
        <v>3827.66</v>
      </c>
      <c r="H75" s="3">
        <f ca="1" t="shared" si="3"/>
        <v>1.66964150420884</v>
      </c>
    </row>
    <row r="76" hidden="1" spans="1:8">
      <c r="A76" s="3">
        <f>VLOOKUP(B76,Sheet2!$A$1:$B$31,2,0)</f>
        <v>13</v>
      </c>
      <c r="B76" s="3" t="s">
        <v>20</v>
      </c>
      <c r="C76" s="3">
        <v>2002</v>
      </c>
      <c r="D76" s="3">
        <v>4253.07</v>
      </c>
      <c r="E76" s="3">
        <v>3110.05</v>
      </c>
      <c r="F76" s="3">
        <f ca="1" t="shared" si="2"/>
        <v>7363.12</v>
      </c>
      <c r="G76" s="3">
        <v>4467.55</v>
      </c>
      <c r="H76" s="3">
        <f ca="1" t="shared" si="3"/>
        <v>1.64813376459133</v>
      </c>
    </row>
    <row r="77" hidden="1" spans="1:8">
      <c r="A77" s="3">
        <f>VLOOKUP(B77,Sheet2!$A$1:$B$31,2,0)</f>
        <v>14</v>
      </c>
      <c r="B77" s="3" t="s">
        <v>21</v>
      </c>
      <c r="C77" s="3">
        <v>2002</v>
      </c>
      <c r="D77" s="3">
        <v>2707.37</v>
      </c>
      <c r="E77" s="3">
        <v>2130.76</v>
      </c>
      <c r="F77" s="3">
        <f ca="1" t="shared" si="2"/>
        <v>4838.13</v>
      </c>
      <c r="G77" s="3">
        <v>2450.48</v>
      </c>
      <c r="H77" s="3">
        <f ca="1" t="shared" si="3"/>
        <v>1.97436012536319</v>
      </c>
    </row>
    <row r="78" hidden="1" spans="1:8">
      <c r="A78" s="3">
        <f>VLOOKUP(B78,Sheet2!$A$1:$B$31,2,0)</f>
        <v>15</v>
      </c>
      <c r="B78" s="3" t="s">
        <v>22</v>
      </c>
      <c r="C78" s="3">
        <v>2002</v>
      </c>
      <c r="D78" s="3">
        <v>10247.8</v>
      </c>
      <c r="E78" s="3">
        <v>8536.6</v>
      </c>
      <c r="F78" s="3">
        <f ca="1" t="shared" si="2"/>
        <v>18784.4</v>
      </c>
      <c r="G78" s="3">
        <v>10076.5</v>
      </c>
      <c r="H78" s="3">
        <f ca="1" t="shared" si="3"/>
        <v>1.86417903041731</v>
      </c>
    </row>
    <row r="79" hidden="1" spans="1:8">
      <c r="A79" s="3">
        <f>VLOOKUP(B79,Sheet2!$A$1:$B$31,2,0)</f>
        <v>16</v>
      </c>
      <c r="B79" s="3" t="s">
        <v>23</v>
      </c>
      <c r="C79" s="3">
        <v>2002</v>
      </c>
      <c r="D79" s="3">
        <v>6451.59</v>
      </c>
      <c r="E79" s="3">
        <v>5553.58</v>
      </c>
      <c r="F79" s="3">
        <f ca="1" t="shared" si="2"/>
        <v>12005.17</v>
      </c>
      <c r="G79" s="3">
        <v>6035.48</v>
      </c>
      <c r="H79" s="3">
        <f ca="1" t="shared" si="3"/>
        <v>1.9890994585352</v>
      </c>
    </row>
    <row r="80" hidden="1" spans="1:8">
      <c r="A80" s="3">
        <f>VLOOKUP(B80,Sheet2!$A$1:$B$31,2,0)</f>
        <v>17</v>
      </c>
      <c r="B80" s="3" t="s">
        <v>24</v>
      </c>
      <c r="C80" s="3">
        <v>2002</v>
      </c>
      <c r="D80" s="3">
        <v>5022.85</v>
      </c>
      <c r="E80" s="3">
        <v>4312.79</v>
      </c>
      <c r="F80" s="3">
        <f ca="1" t="shared" si="2"/>
        <v>9335.64</v>
      </c>
      <c r="G80" s="3">
        <v>4212.82</v>
      </c>
      <c r="H80" s="3">
        <f ca="1" t="shared" si="3"/>
        <v>2.21600733000698</v>
      </c>
    </row>
    <row r="81" hidden="1" spans="1:8">
      <c r="A81" s="3">
        <f>VLOOKUP(B81,Sheet2!$A$1:$B$31,2,0)</f>
        <v>18</v>
      </c>
      <c r="B81" s="3" t="s">
        <v>25</v>
      </c>
      <c r="C81" s="3">
        <v>2002</v>
      </c>
      <c r="D81" s="3">
        <v>3923.17</v>
      </c>
      <c r="E81" s="3">
        <v>3227.46</v>
      </c>
      <c r="F81" s="3">
        <f ca="1" t="shared" si="2"/>
        <v>7150.63</v>
      </c>
      <c r="G81" s="3">
        <v>4151.54</v>
      </c>
      <c r="H81" s="3">
        <f ca="1" t="shared" si="3"/>
        <v>1.72240421626673</v>
      </c>
    </row>
    <row r="82" hidden="1" spans="1:8">
      <c r="A82" s="3">
        <f>VLOOKUP(B82,Sheet2!$A$1:$B$31,2,0)</f>
        <v>19</v>
      </c>
      <c r="B82" s="3" t="s">
        <v>26</v>
      </c>
      <c r="C82" s="3">
        <v>2002</v>
      </c>
      <c r="D82" s="3">
        <v>25409.9</v>
      </c>
      <c r="E82" s="3">
        <v>22975.9</v>
      </c>
      <c r="F82" s="3">
        <f ca="1" t="shared" si="2"/>
        <v>48385.8</v>
      </c>
      <c r="G82" s="3">
        <v>13601.9</v>
      </c>
      <c r="H82" s="3">
        <f ca="1" t="shared" si="3"/>
        <v>3.55728243848286</v>
      </c>
    </row>
    <row r="83" hidden="1" spans="1:8">
      <c r="A83" s="3">
        <f>VLOOKUP(B83,Sheet2!$A$1:$B$31,2,0)</f>
        <v>20</v>
      </c>
      <c r="B83" s="3" t="s">
        <v>27</v>
      </c>
      <c r="C83" s="3">
        <v>2002</v>
      </c>
      <c r="D83" s="3">
        <v>2784.14</v>
      </c>
      <c r="E83" s="3">
        <v>1941.07</v>
      </c>
      <c r="F83" s="3">
        <f ca="1" t="shared" si="2"/>
        <v>4725.21</v>
      </c>
      <c r="G83" s="3">
        <v>2523.73</v>
      </c>
      <c r="H83" s="3">
        <f ca="1" t="shared" si="3"/>
        <v>1.8723120143597</v>
      </c>
    </row>
    <row r="84" hidden="1" spans="1:8">
      <c r="A84" s="3">
        <f>VLOOKUP(B84,Sheet2!$A$1:$B$31,2,0)</f>
        <v>21</v>
      </c>
      <c r="B84" s="3" t="s">
        <v>28</v>
      </c>
      <c r="C84" s="3">
        <v>2002</v>
      </c>
      <c r="D84" s="3">
        <v>891.93</v>
      </c>
      <c r="E84" s="3">
        <v>780.4</v>
      </c>
      <c r="F84" s="3">
        <f ca="1" t="shared" si="2"/>
        <v>1672.33</v>
      </c>
      <c r="G84" s="3">
        <v>642.74</v>
      </c>
      <c r="H84" s="3">
        <f ca="1" t="shared" si="3"/>
        <v>2.60187634191119</v>
      </c>
    </row>
    <row r="85" hidden="1" spans="1:8">
      <c r="A85" s="3">
        <f>VLOOKUP(B85,Sheet2!$A$1:$B$31,2,0)</f>
        <v>22</v>
      </c>
      <c r="B85" s="3" t="s">
        <v>29</v>
      </c>
      <c r="C85" s="3">
        <v>2002</v>
      </c>
      <c r="D85" s="3">
        <v>2903.42</v>
      </c>
      <c r="E85" s="3">
        <v>2338.17</v>
      </c>
      <c r="F85" s="3">
        <f ca="1" t="shared" si="2"/>
        <v>5241.59</v>
      </c>
      <c r="G85" s="3">
        <v>2279.8</v>
      </c>
      <c r="H85" s="3">
        <f ca="1" t="shared" si="3"/>
        <v>2.29914466181244</v>
      </c>
    </row>
    <row r="86" hidden="1" spans="1:8">
      <c r="A86" s="3">
        <f>VLOOKUP(B86,Sheet2!$A$1:$B$31,2,0)</f>
        <v>23</v>
      </c>
      <c r="B86" s="3" t="s">
        <v>30</v>
      </c>
      <c r="C86" s="3">
        <v>2002</v>
      </c>
      <c r="D86" s="3">
        <v>6075.03</v>
      </c>
      <c r="E86" s="3">
        <v>5158.76</v>
      </c>
      <c r="F86" s="3">
        <f ca="1" t="shared" si="2"/>
        <v>11233.79</v>
      </c>
      <c r="G86" s="3">
        <v>4725.01</v>
      </c>
      <c r="H86" s="3">
        <f ca="1" t="shared" si="3"/>
        <v>2.3775166613404</v>
      </c>
    </row>
    <row r="87" hidden="1" spans="1:8">
      <c r="A87" s="3">
        <f>VLOOKUP(B87,Sheet2!$A$1:$B$31,2,0)</f>
        <v>24</v>
      </c>
      <c r="B87" s="3" t="s">
        <v>31</v>
      </c>
      <c r="C87" s="3">
        <v>2002</v>
      </c>
      <c r="D87" s="3">
        <v>1553</v>
      </c>
      <c r="E87" s="3">
        <v>1403.92</v>
      </c>
      <c r="F87" s="3">
        <f ca="1" t="shared" si="2"/>
        <v>2956.92</v>
      </c>
      <c r="G87" s="3">
        <v>1243.43</v>
      </c>
      <c r="H87" s="3">
        <f ca="1" t="shared" si="3"/>
        <v>2.37803495170617</v>
      </c>
    </row>
    <row r="88" hidden="1" spans="1:8">
      <c r="A88" s="3">
        <f>VLOOKUP(B88,Sheet2!$A$1:$B$31,2,0)</f>
        <v>25</v>
      </c>
      <c r="B88" s="3" t="s">
        <v>32</v>
      </c>
      <c r="C88" s="3">
        <v>2002</v>
      </c>
      <c r="D88" s="3">
        <v>3121.28</v>
      </c>
      <c r="E88" s="3">
        <v>2418.48</v>
      </c>
      <c r="F88" s="3">
        <f ca="1" t="shared" si="2"/>
        <v>5539.76</v>
      </c>
      <c r="G88" s="3">
        <v>2358.73</v>
      </c>
      <c r="H88" s="3">
        <f ca="1" t="shared" si="3"/>
        <v>2.34861980811708</v>
      </c>
    </row>
    <row r="89" hidden="1" spans="1:8">
      <c r="A89" s="3">
        <f>VLOOKUP(B89,Sheet2!$A$1:$B$31,2,0)</f>
        <v>26</v>
      </c>
      <c r="B89" s="3" t="s">
        <v>33</v>
      </c>
      <c r="C89" s="3">
        <v>2002</v>
      </c>
      <c r="D89" s="3">
        <v>282.97</v>
      </c>
      <c r="E89" s="3">
        <v>121.13</v>
      </c>
      <c r="F89" s="3">
        <f ca="1" t="shared" si="2"/>
        <v>404.1</v>
      </c>
      <c r="G89" s="3">
        <v>162.04</v>
      </c>
      <c r="H89" s="3">
        <f ca="1" t="shared" si="3"/>
        <v>2.49382868427549</v>
      </c>
    </row>
    <row r="90" hidden="1" spans="1:8">
      <c r="A90" s="3">
        <f>VLOOKUP(B90,Sheet2!$A$1:$B$31,2,0)</f>
        <v>27</v>
      </c>
      <c r="B90" s="3" t="s">
        <v>34</v>
      </c>
      <c r="C90" s="3">
        <v>2002</v>
      </c>
      <c r="D90" s="3">
        <v>3798.27</v>
      </c>
      <c r="E90" s="3">
        <v>2950.84</v>
      </c>
      <c r="F90" s="3">
        <f ca="1" t="shared" si="2"/>
        <v>6749.11</v>
      </c>
      <c r="G90" s="3">
        <v>2253.39</v>
      </c>
      <c r="H90" s="3">
        <f ca="1" t="shared" si="3"/>
        <v>2.99509183940641</v>
      </c>
    </row>
    <row r="91" hidden="1" spans="1:8">
      <c r="A91" s="3">
        <f>VLOOKUP(B91,Sheet2!$A$1:$B$31,2,0)</f>
        <v>28</v>
      </c>
      <c r="B91" s="3" t="s">
        <v>35</v>
      </c>
      <c r="C91" s="3">
        <v>2002</v>
      </c>
      <c r="D91" s="3">
        <v>1806.32</v>
      </c>
      <c r="E91" s="3">
        <v>1469.83</v>
      </c>
      <c r="F91" s="3">
        <f ca="1" t="shared" si="2"/>
        <v>3276.15</v>
      </c>
      <c r="G91" s="3">
        <v>1232.03</v>
      </c>
      <c r="H91" s="3">
        <f ca="1" t="shared" si="3"/>
        <v>2.65914791035933</v>
      </c>
    </row>
    <row r="92" hidden="1" spans="1:8">
      <c r="A92" s="3">
        <f>VLOOKUP(B92,Sheet2!$A$1:$B$31,2,0)</f>
        <v>29</v>
      </c>
      <c r="B92" s="3" t="s">
        <v>36</v>
      </c>
      <c r="C92" s="3">
        <v>2002</v>
      </c>
      <c r="D92" s="3">
        <v>419.41</v>
      </c>
      <c r="E92" s="3">
        <v>443.24</v>
      </c>
      <c r="F92" s="3">
        <f ca="1" t="shared" si="2"/>
        <v>862.65</v>
      </c>
      <c r="G92" s="3">
        <v>340.65</v>
      </c>
      <c r="H92" s="3">
        <f ca="1" t="shared" si="3"/>
        <v>2.53236459709379</v>
      </c>
    </row>
    <row r="93" hidden="1" spans="1:8">
      <c r="A93" s="3">
        <f>VLOOKUP(B93,Sheet2!$A$1:$B$31,2,0)</f>
        <v>30</v>
      </c>
      <c r="B93" s="3" t="s">
        <v>37</v>
      </c>
      <c r="C93" s="3">
        <v>2002</v>
      </c>
      <c r="D93" s="3">
        <v>578.16</v>
      </c>
      <c r="E93" s="3">
        <v>524.56</v>
      </c>
      <c r="F93" s="3">
        <f ca="1" t="shared" si="2"/>
        <v>1102.72</v>
      </c>
      <c r="G93" s="3">
        <v>377.16</v>
      </c>
      <c r="H93" s="3">
        <f ca="1" t="shared" si="3"/>
        <v>2.92374589033832</v>
      </c>
    </row>
    <row r="94" hidden="1" spans="1:8">
      <c r="A94" s="3">
        <f>VLOOKUP(B94,Sheet2!$A$1:$B$31,2,0)</f>
        <v>31</v>
      </c>
      <c r="B94" s="3" t="s">
        <v>38</v>
      </c>
      <c r="C94" s="3">
        <v>2002</v>
      </c>
      <c r="D94" s="3">
        <v>2225.31</v>
      </c>
      <c r="E94" s="3">
        <v>1801.15</v>
      </c>
      <c r="F94" s="3">
        <f ca="1" t="shared" si="2"/>
        <v>4026.46</v>
      </c>
      <c r="G94" s="3">
        <v>1612.65</v>
      </c>
      <c r="H94" s="3">
        <f ca="1" t="shared" si="3"/>
        <v>2.49679719715995</v>
      </c>
    </row>
    <row r="95" hidden="1" spans="1:8">
      <c r="A95" s="3">
        <f>VLOOKUP(B95,Sheet2!$A$1:$B$31,2,0)</f>
        <v>1</v>
      </c>
      <c r="B95" s="3" t="s">
        <v>8</v>
      </c>
      <c r="C95" s="3">
        <v>2003</v>
      </c>
      <c r="D95" s="3">
        <v>20476</v>
      </c>
      <c r="E95" s="3">
        <v>12057.7</v>
      </c>
      <c r="F95" s="3">
        <f ca="1" t="shared" si="2"/>
        <v>32533.7</v>
      </c>
      <c r="G95" s="3">
        <v>5267.2</v>
      </c>
      <c r="H95" s="3">
        <f ca="1" t="shared" si="3"/>
        <v>6.17665932563791</v>
      </c>
    </row>
    <row r="96" hidden="1" spans="1:8">
      <c r="A96" s="3">
        <f>VLOOKUP(B96,Sheet2!$A$1:$B$31,2,0)</f>
        <v>2</v>
      </c>
      <c r="B96" s="3" t="s">
        <v>9</v>
      </c>
      <c r="C96" s="3">
        <v>2003</v>
      </c>
      <c r="D96" s="3">
        <v>4362.6</v>
      </c>
      <c r="E96" s="3">
        <v>3791.22</v>
      </c>
      <c r="F96" s="3">
        <f ca="1" t="shared" si="2"/>
        <v>8153.82</v>
      </c>
      <c r="G96" s="3">
        <v>2257.8</v>
      </c>
      <c r="H96" s="3">
        <f ca="1" t="shared" si="3"/>
        <v>3.61140047834175</v>
      </c>
    </row>
    <row r="97" spans="1:8">
      <c r="A97" s="3">
        <f>VLOOKUP(B97,Sheet2!$A$1:$B$31,2,0)</f>
        <v>3</v>
      </c>
      <c r="B97" s="3" t="s">
        <v>10</v>
      </c>
      <c r="C97" s="3">
        <v>2003</v>
      </c>
      <c r="D97" s="3">
        <v>5273.35</v>
      </c>
      <c r="E97" s="3">
        <v>3854.72</v>
      </c>
      <c r="F97" s="3">
        <f ca="1" t="shared" si="2"/>
        <v>9128.07</v>
      </c>
      <c r="G97" s="3">
        <v>6333.6</v>
      </c>
      <c r="H97" s="3">
        <f ca="1" t="shared" si="3"/>
        <v>1.44121352785146</v>
      </c>
    </row>
    <row r="98" hidden="1" spans="1:8">
      <c r="A98" s="3">
        <f>VLOOKUP(B98,Sheet2!$A$1:$B$31,2,0)</f>
        <v>4</v>
      </c>
      <c r="B98" s="3" t="s">
        <v>11</v>
      </c>
      <c r="C98" s="3">
        <v>2003</v>
      </c>
      <c r="D98" s="3">
        <v>4681.51</v>
      </c>
      <c r="E98" s="3">
        <v>3552.29</v>
      </c>
      <c r="F98" s="3">
        <f ca="1" t="shared" si="2"/>
        <v>8233.8</v>
      </c>
      <c r="G98" s="3">
        <v>2854.25</v>
      </c>
      <c r="H98" s="3">
        <f ca="1" t="shared" si="3"/>
        <v>2.88475081019532</v>
      </c>
    </row>
    <row r="99" hidden="1" spans="1:8">
      <c r="A99" s="3">
        <f>VLOOKUP(B99,Sheet2!$A$1:$B$31,2,0)</f>
        <v>5</v>
      </c>
      <c r="B99" s="3" t="s">
        <v>12</v>
      </c>
      <c r="C99" s="3">
        <v>2003</v>
      </c>
      <c r="D99" s="3">
        <v>2090.98</v>
      </c>
      <c r="E99" s="3">
        <v>1924.13</v>
      </c>
      <c r="F99" s="3">
        <f ca="1" t="shared" si="2"/>
        <v>4015.11</v>
      </c>
      <c r="G99" s="3">
        <v>2388.38</v>
      </c>
      <c r="H99" s="3">
        <f ca="1" t="shared" si="3"/>
        <v>1.68110183471642</v>
      </c>
    </row>
    <row r="100" hidden="1" spans="1:8">
      <c r="A100" s="3">
        <f>VLOOKUP(B100,Sheet2!$A$1:$B$31,2,0)</f>
        <v>6</v>
      </c>
      <c r="B100" s="3" t="s">
        <v>13</v>
      </c>
      <c r="C100" s="3">
        <v>2003</v>
      </c>
      <c r="D100" s="3">
        <v>8942.6</v>
      </c>
      <c r="E100" s="3">
        <v>7222.3</v>
      </c>
      <c r="F100" s="3">
        <f ca="1" t="shared" si="2"/>
        <v>16164.9</v>
      </c>
      <c r="G100" s="3">
        <v>5906.29</v>
      </c>
      <c r="H100" s="3">
        <f ca="1" t="shared" si="3"/>
        <v>2.73689575012402</v>
      </c>
    </row>
    <row r="101" hidden="1" spans="1:8">
      <c r="A101" s="3">
        <f>VLOOKUP(B101,Sheet2!$A$1:$B$31,2,0)</f>
        <v>7</v>
      </c>
      <c r="B101" s="3" t="s">
        <v>14</v>
      </c>
      <c r="C101" s="3">
        <v>2003</v>
      </c>
      <c r="D101" s="3">
        <v>3307.25</v>
      </c>
      <c r="E101" s="3">
        <v>3288.87</v>
      </c>
      <c r="F101" s="3">
        <f ca="1" t="shared" si="2"/>
        <v>6596.12</v>
      </c>
      <c r="G101" s="3">
        <v>2141.03</v>
      </c>
      <c r="H101" s="3">
        <f ca="1" t="shared" si="3"/>
        <v>3.08081624264957</v>
      </c>
    </row>
    <row r="102" hidden="1" spans="1:8">
      <c r="A102" s="3">
        <f>VLOOKUP(B102,Sheet2!$A$1:$B$31,2,0)</f>
        <v>8</v>
      </c>
      <c r="B102" s="3" t="s">
        <v>15</v>
      </c>
      <c r="C102" s="3">
        <v>2003</v>
      </c>
      <c r="D102" s="3">
        <v>4810</v>
      </c>
      <c r="E102" s="3">
        <v>3981.3</v>
      </c>
      <c r="F102" s="3">
        <f ca="1" t="shared" si="2"/>
        <v>8791.3</v>
      </c>
      <c r="G102" s="3">
        <v>3609.7</v>
      </c>
      <c r="H102" s="3">
        <f ca="1" t="shared" si="3"/>
        <v>2.43546555115384</v>
      </c>
    </row>
    <row r="103" hidden="1" spans="1:8">
      <c r="A103" s="3">
        <f>VLOOKUP(B103,Sheet2!$A$1:$B$31,2,0)</f>
        <v>9</v>
      </c>
      <c r="B103" s="3" t="s">
        <v>16</v>
      </c>
      <c r="C103" s="3">
        <v>2003</v>
      </c>
      <c r="D103" s="3">
        <v>17318.4</v>
      </c>
      <c r="E103" s="3">
        <v>13168</v>
      </c>
      <c r="F103" s="3">
        <f ca="1" t="shared" si="2"/>
        <v>30486.4</v>
      </c>
      <c r="G103" s="3">
        <v>6804.04</v>
      </c>
      <c r="H103" s="3">
        <f ca="1" t="shared" si="3"/>
        <v>4.48063209504941</v>
      </c>
    </row>
    <row r="104" hidden="1" spans="1:8">
      <c r="A104" s="3">
        <f>VLOOKUP(B104,Sheet2!$A$1:$B$31,2,0)</f>
        <v>10</v>
      </c>
      <c r="B104" s="3" t="s">
        <v>17</v>
      </c>
      <c r="C104" s="3">
        <v>2003</v>
      </c>
      <c r="D104" s="3">
        <v>15378.5</v>
      </c>
      <c r="E104" s="3">
        <v>11299.5</v>
      </c>
      <c r="F104" s="3">
        <f ca="1" t="shared" si="2"/>
        <v>26678</v>
      </c>
      <c r="G104" s="3">
        <v>12442.9</v>
      </c>
      <c r="H104" s="3">
        <f ca="1" t="shared" si="3"/>
        <v>2.14403394707022</v>
      </c>
    </row>
    <row r="105" hidden="1" spans="1:8">
      <c r="A105" s="3">
        <f>VLOOKUP(B105,Sheet2!$A$1:$B$31,2,0)</f>
        <v>11</v>
      </c>
      <c r="B105" s="3" t="s">
        <v>18</v>
      </c>
      <c r="C105" s="3">
        <v>2003</v>
      </c>
      <c r="D105" s="3">
        <v>15415.7</v>
      </c>
      <c r="E105" s="3">
        <v>12418.6</v>
      </c>
      <c r="F105" s="3">
        <f ca="1" t="shared" si="2"/>
        <v>27834.3</v>
      </c>
      <c r="G105" s="3">
        <v>9753.37</v>
      </c>
      <c r="H105" s="3">
        <f ca="1" t="shared" si="3"/>
        <v>2.8538136049386</v>
      </c>
    </row>
    <row r="106" hidden="1" spans="1:8">
      <c r="A106" s="3">
        <f>VLOOKUP(B106,Sheet2!$A$1:$B$31,2,0)</f>
        <v>12</v>
      </c>
      <c r="B106" s="3" t="s">
        <v>19</v>
      </c>
      <c r="C106" s="3">
        <v>2003</v>
      </c>
      <c r="D106" s="3">
        <v>4190.2</v>
      </c>
      <c r="E106" s="3">
        <v>3374.59</v>
      </c>
      <c r="F106" s="3">
        <f ca="1" t="shared" si="2"/>
        <v>7564.79</v>
      </c>
      <c r="G106" s="3">
        <v>4307.77</v>
      </c>
      <c r="H106" s="3">
        <f ca="1" t="shared" si="3"/>
        <v>1.7560802921233</v>
      </c>
    </row>
    <row r="107" hidden="1" spans="1:8">
      <c r="A107" s="3">
        <f>VLOOKUP(B107,Sheet2!$A$1:$B$31,2,0)</f>
        <v>13</v>
      </c>
      <c r="B107" s="3" t="s">
        <v>20</v>
      </c>
      <c r="C107" s="3">
        <v>2003</v>
      </c>
      <c r="D107" s="3">
        <v>5178.29</v>
      </c>
      <c r="E107" s="3">
        <v>3837.51</v>
      </c>
      <c r="F107" s="3">
        <f ca="1" t="shared" si="2"/>
        <v>9015.8</v>
      </c>
      <c r="G107" s="3">
        <v>4999.59</v>
      </c>
      <c r="H107" s="3">
        <f ca="1" t="shared" si="3"/>
        <v>1.80330787124544</v>
      </c>
    </row>
    <row r="108" hidden="1" spans="1:8">
      <c r="A108" s="3">
        <f>VLOOKUP(B108,Sheet2!$A$1:$B$31,2,0)</f>
        <v>14</v>
      </c>
      <c r="B108" s="3" t="s">
        <v>21</v>
      </c>
      <c r="C108" s="3">
        <v>2003</v>
      </c>
      <c r="D108" s="3">
        <v>3239.58</v>
      </c>
      <c r="E108" s="3">
        <v>2545.28</v>
      </c>
      <c r="F108" s="3">
        <f ca="1" t="shared" si="2"/>
        <v>5784.86</v>
      </c>
      <c r="G108" s="3">
        <v>2812.7</v>
      </c>
      <c r="H108" s="3">
        <f ca="1" t="shared" si="3"/>
        <v>2.05669285739681</v>
      </c>
    </row>
    <row r="109" hidden="1" spans="1:8">
      <c r="A109" s="3">
        <f>VLOOKUP(B109,Sheet2!$A$1:$B$31,2,0)</f>
        <v>15</v>
      </c>
      <c r="B109" s="3" t="s">
        <v>22</v>
      </c>
      <c r="C109" s="3">
        <v>2003</v>
      </c>
      <c r="D109" s="3">
        <v>12438.2</v>
      </c>
      <c r="E109" s="3">
        <v>10467.1</v>
      </c>
      <c r="F109" s="3">
        <f ca="1" t="shared" si="2"/>
        <v>22905.3</v>
      </c>
      <c r="G109" s="3">
        <v>10903.2</v>
      </c>
      <c r="H109" s="3">
        <f ca="1" t="shared" si="3"/>
        <v>2.10078692493947</v>
      </c>
    </row>
    <row r="110" hidden="1" spans="1:8">
      <c r="A110" s="3">
        <f>VLOOKUP(B110,Sheet2!$A$1:$B$31,2,0)</f>
        <v>16</v>
      </c>
      <c r="B110" s="3" t="s">
        <v>23</v>
      </c>
      <c r="C110" s="3">
        <v>2003</v>
      </c>
      <c r="D110" s="3">
        <v>7618.03</v>
      </c>
      <c r="E110" s="3">
        <v>6422.66</v>
      </c>
      <c r="F110" s="3">
        <f ca="1" t="shared" si="2"/>
        <v>14040.69</v>
      </c>
      <c r="G110" s="3">
        <v>6942.41</v>
      </c>
      <c r="H110" s="3">
        <f ca="1" t="shared" si="3"/>
        <v>2.02245185749617</v>
      </c>
    </row>
    <row r="111" hidden="1" spans="1:8">
      <c r="A111" s="3">
        <f>VLOOKUP(B111,Sheet2!$A$1:$B$31,2,0)</f>
        <v>17</v>
      </c>
      <c r="B111" s="3" t="s">
        <v>24</v>
      </c>
      <c r="C111" s="3">
        <v>2003</v>
      </c>
      <c r="D111" s="3">
        <v>5986.36</v>
      </c>
      <c r="E111" s="3">
        <v>5000.74</v>
      </c>
      <c r="F111" s="3">
        <f ca="1" t="shared" si="2"/>
        <v>10987.1</v>
      </c>
      <c r="G111" s="3">
        <v>4757.45</v>
      </c>
      <c r="H111" s="3">
        <f ca="1" t="shared" si="3"/>
        <v>2.30945149187064</v>
      </c>
    </row>
    <row r="112" hidden="1" spans="1:8">
      <c r="A112" s="3">
        <f>VLOOKUP(B112,Sheet2!$A$1:$B$31,2,0)</f>
        <v>18</v>
      </c>
      <c r="B112" s="3" t="s">
        <v>25</v>
      </c>
      <c r="C112" s="3">
        <v>2003</v>
      </c>
      <c r="D112" s="3">
        <v>4774.8</v>
      </c>
      <c r="E112" s="3">
        <v>3900.6</v>
      </c>
      <c r="F112" s="3">
        <f ca="1" t="shared" si="2"/>
        <v>8675.4</v>
      </c>
      <c r="G112" s="3">
        <v>4659.99</v>
      </c>
      <c r="H112" s="3">
        <f ca="1" t="shared" si="3"/>
        <v>1.86167781475926</v>
      </c>
    </row>
    <row r="113" hidden="1" spans="1:8">
      <c r="A113" s="3">
        <f>VLOOKUP(B113,Sheet2!$A$1:$B$31,2,0)</f>
        <v>19</v>
      </c>
      <c r="B113" s="3" t="s">
        <v>26</v>
      </c>
      <c r="C113" s="3">
        <v>2003</v>
      </c>
      <c r="D113" s="3">
        <v>29640.8</v>
      </c>
      <c r="E113" s="3">
        <v>27240.2</v>
      </c>
      <c r="F113" s="3">
        <f ca="1" t="shared" si="2"/>
        <v>56881</v>
      </c>
      <c r="G113" s="3">
        <v>15979.8</v>
      </c>
      <c r="H113" s="3">
        <f ca="1" t="shared" si="3"/>
        <v>3.55955644000551</v>
      </c>
    </row>
    <row r="114" hidden="1" spans="1:8">
      <c r="A114" s="3">
        <f>VLOOKUP(B114,Sheet2!$A$1:$B$31,2,0)</f>
        <v>20</v>
      </c>
      <c r="B114" s="3" t="s">
        <v>27</v>
      </c>
      <c r="C114" s="3">
        <v>2003</v>
      </c>
      <c r="D114" s="3">
        <v>3175.34</v>
      </c>
      <c r="E114" s="3">
        <v>2320.66</v>
      </c>
      <c r="F114" s="3">
        <f ca="1" t="shared" si="2"/>
        <v>5496</v>
      </c>
      <c r="G114" s="3">
        <v>2798.17</v>
      </c>
      <c r="H114" s="3">
        <f ca="1" t="shared" si="3"/>
        <v>1.96414084919787</v>
      </c>
    </row>
    <row r="115" hidden="1" spans="1:8">
      <c r="A115" s="3">
        <f>VLOOKUP(B115,Sheet2!$A$1:$B$31,2,0)</f>
        <v>21</v>
      </c>
      <c r="B115" s="3" t="s">
        <v>28</v>
      </c>
      <c r="C115" s="3">
        <v>2003</v>
      </c>
      <c r="D115" s="3">
        <v>1050.45</v>
      </c>
      <c r="E115" s="3">
        <v>874.76</v>
      </c>
      <c r="F115" s="3">
        <f ca="1" t="shared" si="2"/>
        <v>1925.21</v>
      </c>
      <c r="G115" s="3">
        <v>713.96</v>
      </c>
      <c r="H115" s="3">
        <f ca="1" t="shared" si="3"/>
        <v>2.69652361476833</v>
      </c>
    </row>
    <row r="116" hidden="1" spans="1:8">
      <c r="A116" s="3">
        <f>VLOOKUP(B116,Sheet2!$A$1:$B$31,2,0)</f>
        <v>22</v>
      </c>
      <c r="B116" s="3" t="s">
        <v>29</v>
      </c>
      <c r="C116" s="3">
        <v>2003</v>
      </c>
      <c r="D116" s="3">
        <v>3512.82</v>
      </c>
      <c r="E116" s="3">
        <v>2976.67</v>
      </c>
      <c r="F116" s="3">
        <f ca="1" t="shared" si="2"/>
        <v>6489.49</v>
      </c>
      <c r="G116" s="3">
        <v>2615.57</v>
      </c>
      <c r="H116" s="3">
        <f ca="1" t="shared" si="3"/>
        <v>2.48109972204911</v>
      </c>
    </row>
    <row r="117" hidden="1" spans="1:8">
      <c r="A117" s="3">
        <f>VLOOKUP(B117,Sheet2!$A$1:$B$31,2,0)</f>
        <v>23</v>
      </c>
      <c r="B117" s="3" t="s">
        <v>30</v>
      </c>
      <c r="C117" s="3">
        <v>2003</v>
      </c>
      <c r="D117" s="3">
        <v>7235.77</v>
      </c>
      <c r="E117" s="3">
        <v>5910.59</v>
      </c>
      <c r="F117" s="3">
        <f ca="1" t="shared" si="2"/>
        <v>13146.36</v>
      </c>
      <c r="G117" s="3">
        <v>5346.2</v>
      </c>
      <c r="H117" s="3">
        <f ca="1" t="shared" si="3"/>
        <v>2.45901013804197</v>
      </c>
    </row>
    <row r="118" hidden="1" spans="1:8">
      <c r="A118" s="3">
        <f>VLOOKUP(B118,Sheet2!$A$1:$B$31,2,0)</f>
        <v>24</v>
      </c>
      <c r="B118" s="3" t="s">
        <v>31</v>
      </c>
      <c r="C118" s="3">
        <v>2003</v>
      </c>
      <c r="D118" s="3">
        <v>1898.62</v>
      </c>
      <c r="E118" s="3">
        <v>1714.04</v>
      </c>
      <c r="F118" s="3">
        <f ca="1" t="shared" si="2"/>
        <v>3612.66</v>
      </c>
      <c r="G118" s="3">
        <v>1428.97</v>
      </c>
      <c r="H118" s="3">
        <f ca="1" t="shared" si="3"/>
        <v>2.52815664429624</v>
      </c>
    </row>
    <row r="119" hidden="1" spans="1:8">
      <c r="A119" s="3">
        <f>VLOOKUP(B119,Sheet2!$A$1:$B$31,2,0)</f>
        <v>25</v>
      </c>
      <c r="B119" s="3" t="s">
        <v>32</v>
      </c>
      <c r="C119" s="3">
        <v>2003</v>
      </c>
      <c r="D119" s="3">
        <v>3747.46</v>
      </c>
      <c r="E119" s="3">
        <v>2955.57</v>
      </c>
      <c r="F119" s="3">
        <f ca="1" t="shared" si="2"/>
        <v>6703.03</v>
      </c>
      <c r="G119" s="3">
        <v>2633.39</v>
      </c>
      <c r="H119" s="3">
        <f ca="1" t="shared" si="3"/>
        <v>2.54539965595677</v>
      </c>
    </row>
    <row r="120" hidden="1" spans="1:8">
      <c r="A120" s="3">
        <f>VLOOKUP(B120,Sheet2!$A$1:$B$31,2,0)</f>
        <v>26</v>
      </c>
      <c r="B120" s="3" t="s">
        <v>33</v>
      </c>
      <c r="C120" s="3">
        <v>2003</v>
      </c>
      <c r="D120" s="3">
        <v>320.87</v>
      </c>
      <c r="E120" s="3">
        <v>144.44</v>
      </c>
      <c r="F120" s="3">
        <f ca="1" t="shared" si="2"/>
        <v>465.31</v>
      </c>
      <c r="G120" s="3">
        <v>185.97</v>
      </c>
      <c r="H120" s="3">
        <f ca="1" t="shared" si="3"/>
        <v>2.5020702263806</v>
      </c>
    </row>
    <row r="121" hidden="1" spans="1:8">
      <c r="A121" s="3">
        <f>VLOOKUP(B121,Sheet2!$A$1:$B$31,2,0)</f>
        <v>27</v>
      </c>
      <c r="B121" s="3" t="s">
        <v>34</v>
      </c>
      <c r="C121" s="3">
        <v>2003</v>
      </c>
      <c r="D121" s="3">
        <v>4593.1</v>
      </c>
      <c r="E121" s="3">
        <v>3549.6</v>
      </c>
      <c r="F121" s="3">
        <f ca="1" t="shared" si="2"/>
        <v>8142.7</v>
      </c>
      <c r="G121" s="3">
        <v>2587.72</v>
      </c>
      <c r="H121" s="3">
        <f ca="1" t="shared" si="3"/>
        <v>3.14666965514043</v>
      </c>
    </row>
    <row r="122" hidden="1" spans="1:8">
      <c r="A122" s="3">
        <f>VLOOKUP(B122,Sheet2!$A$1:$B$31,2,0)</f>
        <v>28</v>
      </c>
      <c r="B122" s="3" t="s">
        <v>35</v>
      </c>
      <c r="C122" s="3">
        <v>2003</v>
      </c>
      <c r="D122" s="3">
        <v>2129.61</v>
      </c>
      <c r="E122" s="3">
        <v>1727.71</v>
      </c>
      <c r="F122" s="3">
        <f ca="1" t="shared" si="2"/>
        <v>3857.32</v>
      </c>
      <c r="G122" s="3">
        <v>1399.94</v>
      </c>
      <c r="H122" s="3">
        <f ca="1" t="shared" si="3"/>
        <v>2.7553466577139</v>
      </c>
    </row>
    <row r="123" hidden="1" spans="1:8">
      <c r="A123" s="3">
        <f>VLOOKUP(B123,Sheet2!$A$1:$B$31,2,0)</f>
        <v>29</v>
      </c>
      <c r="B123" s="3" t="s">
        <v>36</v>
      </c>
      <c r="C123" s="3">
        <v>2003</v>
      </c>
      <c r="D123" s="3">
        <v>480.51</v>
      </c>
      <c r="E123" s="3">
        <v>514.29</v>
      </c>
      <c r="F123" s="3">
        <f ca="1" t="shared" si="2"/>
        <v>994.8</v>
      </c>
      <c r="G123" s="3">
        <v>385</v>
      </c>
      <c r="H123" s="3">
        <f ca="1" t="shared" si="3"/>
        <v>2.5838961038961</v>
      </c>
    </row>
    <row r="124" hidden="1" spans="1:8">
      <c r="A124" s="3">
        <f>VLOOKUP(B124,Sheet2!$A$1:$B$31,2,0)</f>
        <v>30</v>
      </c>
      <c r="B124" s="3" t="s">
        <v>37</v>
      </c>
      <c r="C124" s="3">
        <v>2003</v>
      </c>
      <c r="D124" s="3">
        <v>746.35</v>
      </c>
      <c r="E124" s="3">
        <v>681.61</v>
      </c>
      <c r="F124" s="3">
        <f ca="1" t="shared" si="2"/>
        <v>1427.96</v>
      </c>
      <c r="G124" s="3">
        <v>442.6</v>
      </c>
      <c r="H124" s="3">
        <f ca="1" t="shared" si="3"/>
        <v>3.22629914143696</v>
      </c>
    </row>
    <row r="125" hidden="1" spans="1:8">
      <c r="A125" s="3">
        <f>VLOOKUP(B125,Sheet2!$A$1:$B$31,2,0)</f>
        <v>31</v>
      </c>
      <c r="B125" s="3" t="s">
        <v>38</v>
      </c>
      <c r="C125" s="3">
        <v>2003</v>
      </c>
      <c r="D125" s="3">
        <v>2661.65</v>
      </c>
      <c r="E125" s="3">
        <v>2099.09</v>
      </c>
      <c r="F125" s="3">
        <f ca="1" t="shared" si="2"/>
        <v>4760.74</v>
      </c>
      <c r="G125" s="3">
        <v>1889.2</v>
      </c>
      <c r="H125" s="3">
        <f ca="1" t="shared" si="3"/>
        <v>2.5199767097184</v>
      </c>
    </row>
    <row r="126" hidden="1" spans="1:8">
      <c r="A126" s="3">
        <f>VLOOKUP(B126,Sheet2!$A$1:$B$31,2,0)</f>
        <v>1</v>
      </c>
      <c r="B126" s="3" t="s">
        <v>8</v>
      </c>
      <c r="C126" s="3">
        <v>2004</v>
      </c>
      <c r="D126" s="3">
        <v>23781.3</v>
      </c>
      <c r="E126" s="3">
        <v>13577.7</v>
      </c>
      <c r="F126" s="3">
        <f ca="1" t="shared" si="2"/>
        <v>37359</v>
      </c>
      <c r="G126" s="3">
        <v>6252.5</v>
      </c>
      <c r="H126" s="3">
        <f ca="1" t="shared" si="3"/>
        <v>5.975049980008</v>
      </c>
    </row>
    <row r="127" hidden="1" spans="1:8">
      <c r="A127" s="3">
        <f>VLOOKUP(B127,Sheet2!$A$1:$B$31,2,0)</f>
        <v>2</v>
      </c>
      <c r="B127" s="3" t="s">
        <v>9</v>
      </c>
      <c r="C127" s="3">
        <v>2004</v>
      </c>
      <c r="D127" s="3">
        <v>5139.72</v>
      </c>
      <c r="E127" s="3">
        <v>4146.49</v>
      </c>
      <c r="F127" s="3">
        <f ca="1" t="shared" si="2"/>
        <v>9286.21</v>
      </c>
      <c r="G127" s="3">
        <v>2621.1</v>
      </c>
      <c r="H127" s="3">
        <f ca="1" t="shared" si="3"/>
        <v>3.54286749837854</v>
      </c>
    </row>
    <row r="128" spans="1:8">
      <c r="A128" s="3">
        <f>VLOOKUP(B128,Sheet2!$A$1:$B$31,2,0)</f>
        <v>3</v>
      </c>
      <c r="B128" s="3" t="s">
        <v>10</v>
      </c>
      <c r="C128" s="3">
        <v>2004</v>
      </c>
      <c r="D128" s="3">
        <v>9249.94</v>
      </c>
      <c r="E128" s="3">
        <v>6152.24</v>
      </c>
      <c r="F128" s="3">
        <f ca="1" t="shared" si="2"/>
        <v>15402.18</v>
      </c>
      <c r="G128" s="3">
        <v>7588.6</v>
      </c>
      <c r="H128" s="3">
        <f ca="1" t="shared" si="3"/>
        <v>2.0296471022323</v>
      </c>
    </row>
    <row r="129" hidden="1" spans="1:8">
      <c r="A129" s="3">
        <f>VLOOKUP(B129,Sheet2!$A$1:$B$31,2,0)</f>
        <v>4</v>
      </c>
      <c r="B129" s="3" t="s">
        <v>11</v>
      </c>
      <c r="C129" s="3">
        <v>2004</v>
      </c>
      <c r="D129" s="3">
        <v>5811.65</v>
      </c>
      <c r="E129" s="3">
        <v>4016.12</v>
      </c>
      <c r="F129" s="3">
        <f ca="1" t="shared" si="2"/>
        <v>9827.77</v>
      </c>
      <c r="G129" s="3">
        <v>3495.99</v>
      </c>
      <c r="H129" s="3">
        <f ca="1" t="shared" si="3"/>
        <v>2.81115506623303</v>
      </c>
    </row>
    <row r="130" hidden="1" spans="1:8">
      <c r="A130" s="3">
        <f>VLOOKUP(B130,Sheet2!$A$1:$B$31,2,0)</f>
        <v>5</v>
      </c>
      <c r="B130" s="3" t="s">
        <v>12</v>
      </c>
      <c r="C130" s="3">
        <v>2004</v>
      </c>
      <c r="D130" s="3">
        <v>2576.37</v>
      </c>
      <c r="E130" s="3">
        <v>2239.76</v>
      </c>
      <c r="F130" s="3">
        <f ca="1" t="shared" ref="F130:F193" si="4">D130+E130</f>
        <v>4816.13</v>
      </c>
      <c r="G130" s="3">
        <v>2942.35</v>
      </c>
      <c r="H130" s="3">
        <f ca="1" t="shared" ref="H130:H193" si="5">F130/G130</f>
        <v>1.63683110438935</v>
      </c>
    </row>
    <row r="131" hidden="1" spans="1:8">
      <c r="A131" s="3">
        <f>VLOOKUP(B131,Sheet2!$A$1:$B$31,2,0)</f>
        <v>6</v>
      </c>
      <c r="B131" s="3" t="s">
        <v>13</v>
      </c>
      <c r="C131" s="3">
        <v>2004</v>
      </c>
      <c r="D131" s="3">
        <v>10193.5</v>
      </c>
      <c r="E131" s="3">
        <v>7744.3</v>
      </c>
      <c r="F131" s="3">
        <f ca="1" t="shared" si="4"/>
        <v>17937.8</v>
      </c>
      <c r="G131" s="3">
        <v>6469.81</v>
      </c>
      <c r="H131" s="3">
        <f ca="1" t="shared" si="5"/>
        <v>2.77253891536227</v>
      </c>
    </row>
    <row r="132" hidden="1" spans="1:8">
      <c r="A132" s="3">
        <f>VLOOKUP(B132,Sheet2!$A$1:$B$31,2,0)</f>
        <v>7</v>
      </c>
      <c r="B132" s="3" t="s">
        <v>14</v>
      </c>
      <c r="C132" s="3">
        <v>2004</v>
      </c>
      <c r="D132" s="3">
        <v>3683.5</v>
      </c>
      <c r="E132" s="3">
        <v>3435.03</v>
      </c>
      <c r="F132" s="3">
        <f ca="1" t="shared" si="4"/>
        <v>7118.53</v>
      </c>
      <c r="G132" s="3">
        <v>2455.21</v>
      </c>
      <c r="H132" s="3">
        <f ca="1" t="shared" si="5"/>
        <v>2.89935687782308</v>
      </c>
    </row>
    <row r="133" hidden="1" spans="1:8">
      <c r="A133" s="3">
        <f>VLOOKUP(B133,Sheet2!$A$1:$B$31,2,0)</f>
        <v>8</v>
      </c>
      <c r="B133" s="3" t="s">
        <v>15</v>
      </c>
      <c r="C133" s="3">
        <v>2004</v>
      </c>
      <c r="D133" s="3">
        <v>5313.9</v>
      </c>
      <c r="E133" s="3">
        <v>4038.9</v>
      </c>
      <c r="F133" s="3">
        <f ca="1" t="shared" si="4"/>
        <v>9352.8</v>
      </c>
      <c r="G133" s="3">
        <v>4134.7</v>
      </c>
      <c r="H133" s="3">
        <f ca="1" t="shared" si="5"/>
        <v>2.26202626550898</v>
      </c>
    </row>
    <row r="134" hidden="1" spans="1:8">
      <c r="A134" s="3">
        <f>VLOOKUP(B134,Sheet2!$A$1:$B$31,2,0)</f>
        <v>9</v>
      </c>
      <c r="B134" s="3" t="s">
        <v>16</v>
      </c>
      <c r="C134" s="3">
        <v>2004</v>
      </c>
      <c r="D134" s="3">
        <v>19994.1</v>
      </c>
      <c r="E134" s="3">
        <v>14972</v>
      </c>
      <c r="F134" s="3">
        <f ca="1" t="shared" si="4"/>
        <v>34966.1</v>
      </c>
      <c r="G134" s="3">
        <v>8101.55</v>
      </c>
      <c r="H134" s="3">
        <f ca="1" t="shared" si="5"/>
        <v>4.3159765723843</v>
      </c>
    </row>
    <row r="135" hidden="1" spans="1:8">
      <c r="A135" s="3">
        <f>VLOOKUP(B135,Sheet2!$A$1:$B$31,2,0)</f>
        <v>10</v>
      </c>
      <c r="B135" s="3" t="s">
        <v>17</v>
      </c>
      <c r="C135" s="3">
        <v>2004</v>
      </c>
      <c r="D135" s="3">
        <v>18211</v>
      </c>
      <c r="E135" s="3">
        <v>13481</v>
      </c>
      <c r="F135" s="3">
        <f ca="1" t="shared" si="4"/>
        <v>31692</v>
      </c>
      <c r="G135" s="3">
        <v>14823.1</v>
      </c>
      <c r="H135" s="3">
        <f ca="1" t="shared" si="5"/>
        <v>2.13801431549406</v>
      </c>
    </row>
    <row r="136" hidden="1" spans="1:8">
      <c r="A136" s="3">
        <f>VLOOKUP(B136,Sheet2!$A$1:$B$31,2,0)</f>
        <v>11</v>
      </c>
      <c r="B136" s="3" t="s">
        <v>18</v>
      </c>
      <c r="C136" s="3">
        <v>2004</v>
      </c>
      <c r="D136" s="3">
        <v>17855.1</v>
      </c>
      <c r="E136" s="3">
        <v>14982.5</v>
      </c>
      <c r="F136" s="3">
        <f ca="1" t="shared" si="4"/>
        <v>32837.6</v>
      </c>
      <c r="G136" s="3">
        <v>11482.1</v>
      </c>
      <c r="H136" s="3">
        <f ca="1" t="shared" si="5"/>
        <v>2.85989496694855</v>
      </c>
    </row>
    <row r="137" hidden="1" spans="1:8">
      <c r="A137" s="3">
        <f>VLOOKUP(B137,Sheet2!$A$1:$B$31,2,0)</f>
        <v>12</v>
      </c>
      <c r="B137" s="3" t="s">
        <v>19</v>
      </c>
      <c r="C137" s="3">
        <v>2004</v>
      </c>
      <c r="D137" s="3">
        <v>5125.59</v>
      </c>
      <c r="E137" s="3">
        <v>4006.18</v>
      </c>
      <c r="F137" s="3">
        <f ca="1" t="shared" si="4"/>
        <v>9131.77</v>
      </c>
      <c r="G137" s="3">
        <v>5129.12</v>
      </c>
      <c r="H137" s="3">
        <f ca="1" t="shared" si="5"/>
        <v>1.78037753064853</v>
      </c>
    </row>
    <row r="138" hidden="1" spans="1:8">
      <c r="A138" s="3">
        <f>VLOOKUP(B138,Sheet2!$A$1:$B$31,2,0)</f>
        <v>13</v>
      </c>
      <c r="B138" s="3" t="s">
        <v>20</v>
      </c>
      <c r="C138" s="3">
        <v>2004</v>
      </c>
      <c r="D138" s="3">
        <v>5984.32</v>
      </c>
      <c r="E138" s="3">
        <v>4367.05</v>
      </c>
      <c r="F138" s="3">
        <f ca="1" t="shared" si="4"/>
        <v>10351.37</v>
      </c>
      <c r="G138" s="3">
        <v>5712.08</v>
      </c>
      <c r="H138" s="3">
        <f ca="1" t="shared" si="5"/>
        <v>1.81218925505245</v>
      </c>
    </row>
    <row r="139" hidden="1" spans="1:8">
      <c r="A139" s="3">
        <f>VLOOKUP(B139,Sheet2!$A$1:$B$31,2,0)</f>
        <v>14</v>
      </c>
      <c r="B139" s="3" t="s">
        <v>21</v>
      </c>
      <c r="C139" s="3">
        <v>2004</v>
      </c>
      <c r="D139" s="3">
        <v>3758.34</v>
      </c>
      <c r="E139" s="3">
        <v>2854.02</v>
      </c>
      <c r="F139" s="3">
        <f ca="1" t="shared" si="4"/>
        <v>6612.36</v>
      </c>
      <c r="G139" s="3">
        <v>3398.06</v>
      </c>
      <c r="H139" s="3">
        <f ca="1" t="shared" si="5"/>
        <v>1.94592208495436</v>
      </c>
    </row>
    <row r="140" hidden="1" spans="1:8">
      <c r="A140" s="3">
        <f>VLOOKUP(B140,Sheet2!$A$1:$B$31,2,0)</f>
        <v>15</v>
      </c>
      <c r="B140" s="3" t="s">
        <v>22</v>
      </c>
      <c r="C140" s="3">
        <v>2004</v>
      </c>
      <c r="D140" s="3">
        <v>14514.3</v>
      </c>
      <c r="E140" s="3">
        <v>11782.8</v>
      </c>
      <c r="F140" s="3">
        <f ca="1" t="shared" si="4"/>
        <v>26297.1</v>
      </c>
      <c r="G140" s="3">
        <v>13308.1</v>
      </c>
      <c r="H140" s="3">
        <f ca="1" t="shared" si="5"/>
        <v>1.97602212186563</v>
      </c>
    </row>
    <row r="141" hidden="1" spans="1:8">
      <c r="A141" s="3">
        <f>VLOOKUP(B141,Sheet2!$A$1:$B$31,2,0)</f>
        <v>16</v>
      </c>
      <c r="B141" s="3" t="s">
        <v>23</v>
      </c>
      <c r="C141" s="3">
        <v>2004</v>
      </c>
      <c r="D141" s="3">
        <v>8631.79</v>
      </c>
      <c r="E141" s="3">
        <v>7092.31</v>
      </c>
      <c r="F141" s="3">
        <f ca="1" t="shared" si="4"/>
        <v>15724.1</v>
      </c>
      <c r="G141" s="3">
        <v>8411.19</v>
      </c>
      <c r="H141" s="3">
        <f ca="1" t="shared" si="5"/>
        <v>1.86942632374254</v>
      </c>
    </row>
    <row r="142" hidden="1" spans="1:8">
      <c r="A142" s="3">
        <f>VLOOKUP(B142,Sheet2!$A$1:$B$31,2,0)</f>
        <v>17</v>
      </c>
      <c r="B142" s="3" t="s">
        <v>24</v>
      </c>
      <c r="C142" s="3">
        <v>2004</v>
      </c>
      <c r="D142" s="3">
        <v>7033.58</v>
      </c>
      <c r="E142" s="3">
        <v>5377.43</v>
      </c>
      <c r="F142" s="3">
        <f ca="1" t="shared" si="4"/>
        <v>12411.01</v>
      </c>
      <c r="G142" s="3">
        <v>5546.78</v>
      </c>
      <c r="H142" s="3">
        <f ca="1" t="shared" si="5"/>
        <v>2.23751618055881</v>
      </c>
    </row>
    <row r="143" hidden="1" spans="1:8">
      <c r="A143" s="3">
        <f>VLOOKUP(B143,Sheet2!$A$1:$B$31,2,0)</f>
        <v>18</v>
      </c>
      <c r="B143" s="3" t="s">
        <v>25</v>
      </c>
      <c r="C143" s="3">
        <v>2004</v>
      </c>
      <c r="D143" s="3">
        <v>5500.47</v>
      </c>
      <c r="E143" s="3">
        <v>4355.08</v>
      </c>
      <c r="F143" s="3">
        <f ca="1" t="shared" si="4"/>
        <v>9855.55</v>
      </c>
      <c r="G143" s="3">
        <v>5542.62</v>
      </c>
      <c r="H143" s="3">
        <f ca="1" t="shared" si="5"/>
        <v>1.77813921935835</v>
      </c>
    </row>
    <row r="144" hidden="1" spans="1:8">
      <c r="A144" s="3">
        <f>VLOOKUP(B144,Sheet2!$A$1:$B$31,2,0)</f>
        <v>19</v>
      </c>
      <c r="B144" s="3" t="s">
        <v>26</v>
      </c>
      <c r="C144" s="3">
        <v>2004</v>
      </c>
      <c r="D144" s="3">
        <v>33252</v>
      </c>
      <c r="E144" s="3">
        <v>30869.6</v>
      </c>
      <c r="F144" s="3">
        <f ca="1" t="shared" si="4"/>
        <v>64121.6</v>
      </c>
      <c r="G144" s="3">
        <v>18658.3</v>
      </c>
      <c r="H144" s="3">
        <f ca="1" t="shared" si="5"/>
        <v>3.4366260591801</v>
      </c>
    </row>
    <row r="145" hidden="1" spans="1:8">
      <c r="A145" s="3">
        <f>VLOOKUP(B145,Sheet2!$A$1:$B$31,2,0)</f>
        <v>20</v>
      </c>
      <c r="B145" s="3" t="s">
        <v>27</v>
      </c>
      <c r="C145" s="3">
        <v>2004</v>
      </c>
      <c r="D145" s="3">
        <v>3673.19</v>
      </c>
      <c r="E145" s="3">
        <v>2759.65</v>
      </c>
      <c r="F145" s="3">
        <f ca="1" t="shared" si="4"/>
        <v>6432.84</v>
      </c>
      <c r="G145" s="3">
        <v>3305.12</v>
      </c>
      <c r="H145" s="3">
        <f ca="1" t="shared" si="5"/>
        <v>1.94632570073099</v>
      </c>
    </row>
    <row r="146" hidden="1" spans="1:8">
      <c r="A146" s="3">
        <f>VLOOKUP(B146,Sheet2!$A$1:$B$31,2,0)</f>
        <v>21</v>
      </c>
      <c r="B146" s="3" t="s">
        <v>28</v>
      </c>
      <c r="C146" s="3">
        <v>2004</v>
      </c>
      <c r="D146" s="3">
        <v>1159.31</v>
      </c>
      <c r="E146" s="3">
        <v>920.55</v>
      </c>
      <c r="F146" s="3">
        <f ca="1" t="shared" si="4"/>
        <v>2079.86</v>
      </c>
      <c r="G146" s="3">
        <v>802.68</v>
      </c>
      <c r="H146" s="3">
        <f ca="1" t="shared" si="5"/>
        <v>2.59114466537101</v>
      </c>
    </row>
    <row r="147" hidden="1" spans="1:8">
      <c r="A147" s="3">
        <f>VLOOKUP(B147,Sheet2!$A$1:$B$31,2,0)</f>
        <v>22</v>
      </c>
      <c r="B147" s="3" t="s">
        <v>29</v>
      </c>
      <c r="C147" s="3">
        <v>2004</v>
      </c>
      <c r="D147" s="3">
        <v>4105.09</v>
      </c>
      <c r="E147" s="3">
        <v>3309.13</v>
      </c>
      <c r="F147" s="3">
        <f ca="1" t="shared" si="4"/>
        <v>7414.22</v>
      </c>
      <c r="G147" s="3">
        <v>3059.54</v>
      </c>
      <c r="H147" s="3">
        <f ca="1" t="shared" si="5"/>
        <v>2.4233120011505</v>
      </c>
    </row>
    <row r="148" hidden="1" spans="1:8">
      <c r="A148" s="3">
        <f>VLOOKUP(B148,Sheet2!$A$1:$B$31,2,0)</f>
        <v>23</v>
      </c>
      <c r="B148" s="3" t="s">
        <v>30</v>
      </c>
      <c r="C148" s="3">
        <v>2004</v>
      </c>
      <c r="D148" s="3">
        <v>8462.11</v>
      </c>
      <c r="E148" s="3">
        <v>7052.59</v>
      </c>
      <c r="F148" s="3">
        <f ca="1" t="shared" si="4"/>
        <v>15514.7</v>
      </c>
      <c r="G148" s="3">
        <v>6303.96</v>
      </c>
      <c r="H148" s="3">
        <f ca="1" t="shared" si="5"/>
        <v>2.4611038141105</v>
      </c>
    </row>
    <row r="149" hidden="1" spans="1:8">
      <c r="A149" s="3">
        <f>VLOOKUP(B149,Sheet2!$A$1:$B$31,2,0)</f>
        <v>24</v>
      </c>
      <c r="B149" s="3" t="s">
        <v>31</v>
      </c>
      <c r="C149" s="3">
        <v>2004</v>
      </c>
      <c r="D149" s="3">
        <v>2322.27</v>
      </c>
      <c r="E149" s="3">
        <v>2020.04</v>
      </c>
      <c r="F149" s="3">
        <f ca="1" t="shared" si="4"/>
        <v>4342.31</v>
      </c>
      <c r="G149" s="3">
        <v>1649.4</v>
      </c>
      <c r="H149" s="3">
        <f ca="1" t="shared" si="5"/>
        <v>2.63266036134352</v>
      </c>
    </row>
    <row r="150" hidden="1" spans="1:8">
      <c r="A150" s="3">
        <f>VLOOKUP(B150,Sheet2!$A$1:$B$31,2,0)</f>
        <v>25</v>
      </c>
      <c r="B150" s="3" t="s">
        <v>32</v>
      </c>
      <c r="C150" s="3">
        <v>2004</v>
      </c>
      <c r="D150" s="3">
        <v>4404.36</v>
      </c>
      <c r="E150" s="3">
        <v>3398.29</v>
      </c>
      <c r="F150" s="3">
        <f ca="1" t="shared" si="4"/>
        <v>7802.65</v>
      </c>
      <c r="G150" s="3">
        <v>3136.38</v>
      </c>
      <c r="H150" s="3">
        <f ca="1" t="shared" si="5"/>
        <v>2.48778846950943</v>
      </c>
    </row>
    <row r="151" hidden="1" spans="1:8">
      <c r="A151" s="3">
        <f>VLOOKUP(B151,Sheet2!$A$1:$B$31,2,0)</f>
        <v>26</v>
      </c>
      <c r="B151" s="3" t="s">
        <v>33</v>
      </c>
      <c r="C151" s="3">
        <v>2004</v>
      </c>
      <c r="D151" s="3">
        <v>361.72</v>
      </c>
      <c r="E151" s="3">
        <v>167.9</v>
      </c>
      <c r="F151" s="3">
        <f ca="1" t="shared" si="4"/>
        <v>529.62</v>
      </c>
      <c r="G151" s="3">
        <v>217.93</v>
      </c>
      <c r="H151" s="3">
        <f ca="1" t="shared" si="5"/>
        <v>2.43022989033176</v>
      </c>
    </row>
    <row r="152" hidden="1" spans="1:8">
      <c r="A152" s="3">
        <f>VLOOKUP(B152,Sheet2!$A$1:$B$31,2,0)</f>
        <v>27</v>
      </c>
      <c r="B152" s="3" t="s">
        <v>34</v>
      </c>
      <c r="C152" s="3">
        <v>2004</v>
      </c>
      <c r="D152" s="3">
        <v>5380.27</v>
      </c>
      <c r="E152" s="3">
        <v>3829.57</v>
      </c>
      <c r="F152" s="3">
        <f ca="1" t="shared" si="4"/>
        <v>9209.84</v>
      </c>
      <c r="G152" s="3">
        <v>3141.56</v>
      </c>
      <c r="H152" s="3">
        <f ca="1" t="shared" si="5"/>
        <v>2.93161359324667</v>
      </c>
    </row>
    <row r="153" hidden="1" spans="1:8">
      <c r="A153" s="3">
        <f>VLOOKUP(B153,Sheet2!$A$1:$B$31,2,0)</f>
        <v>28</v>
      </c>
      <c r="B153" s="3" t="s">
        <v>35</v>
      </c>
      <c r="C153" s="3">
        <v>2004</v>
      </c>
      <c r="D153" s="3">
        <v>2482.39</v>
      </c>
      <c r="E153" s="3">
        <v>1907.35</v>
      </c>
      <c r="F153" s="3">
        <f ca="1" t="shared" si="4"/>
        <v>4389.74</v>
      </c>
      <c r="G153" s="3">
        <v>1653.61</v>
      </c>
      <c r="H153" s="3">
        <f ca="1" t="shared" si="5"/>
        <v>2.65464045331124</v>
      </c>
    </row>
    <row r="154" hidden="1" spans="1:8">
      <c r="A154" s="3">
        <f>VLOOKUP(B154,Sheet2!$A$1:$B$31,2,0)</f>
        <v>29</v>
      </c>
      <c r="B154" s="3" t="s">
        <v>36</v>
      </c>
      <c r="C154" s="3">
        <v>2004</v>
      </c>
      <c r="D154" s="3">
        <v>601.75</v>
      </c>
      <c r="E154" s="3">
        <v>619.85</v>
      </c>
      <c r="F154" s="3">
        <f ca="1" t="shared" si="4"/>
        <v>1221.6</v>
      </c>
      <c r="G154" s="3">
        <v>443.73</v>
      </c>
      <c r="H154" s="3">
        <f ca="1" t="shared" si="5"/>
        <v>2.75302548847272</v>
      </c>
    </row>
    <row r="155" hidden="1" spans="1:8">
      <c r="A155" s="3">
        <f>VLOOKUP(B155,Sheet2!$A$1:$B$31,2,0)</f>
        <v>30</v>
      </c>
      <c r="B155" s="3" t="s">
        <v>37</v>
      </c>
      <c r="C155" s="3">
        <v>2004</v>
      </c>
      <c r="D155" s="3">
        <v>841.16</v>
      </c>
      <c r="E155" s="3">
        <v>762.14</v>
      </c>
      <c r="F155" s="3">
        <f ca="1" t="shared" si="4"/>
        <v>1603.3</v>
      </c>
      <c r="G155" s="3">
        <v>519.9</v>
      </c>
      <c r="H155" s="3">
        <f ca="1" t="shared" si="5"/>
        <v>3.08386228120792</v>
      </c>
    </row>
    <row r="156" hidden="1" spans="1:8">
      <c r="A156" s="3">
        <f>VLOOKUP(B156,Sheet2!$A$1:$B$31,2,0)</f>
        <v>31</v>
      </c>
      <c r="B156" s="3" t="s">
        <v>38</v>
      </c>
      <c r="C156" s="3">
        <v>2004</v>
      </c>
      <c r="D156" s="3">
        <v>2959.78</v>
      </c>
      <c r="E156" s="3">
        <v>2214.66</v>
      </c>
      <c r="F156" s="3">
        <f ca="1" t="shared" si="4"/>
        <v>5174.44</v>
      </c>
      <c r="G156" s="3">
        <v>2170.4</v>
      </c>
      <c r="H156" s="3">
        <f ca="1" t="shared" si="5"/>
        <v>2.38409509767785</v>
      </c>
    </row>
    <row r="157" hidden="1" spans="1:8">
      <c r="A157" s="3">
        <f>VLOOKUP(B157,Sheet2!$A$1:$B$31,2,0)</f>
        <v>1</v>
      </c>
      <c r="B157" s="3" t="s">
        <v>8</v>
      </c>
      <c r="C157" s="3">
        <v>2005</v>
      </c>
      <c r="D157" s="3">
        <v>28969.9</v>
      </c>
      <c r="E157" s="3">
        <v>15335.5</v>
      </c>
      <c r="F157" s="3">
        <f ca="1" t="shared" si="4"/>
        <v>44305.4</v>
      </c>
      <c r="G157" s="3">
        <v>7149.77</v>
      </c>
      <c r="H157" s="3">
        <f ca="1" t="shared" si="5"/>
        <v>6.19675877685576</v>
      </c>
    </row>
    <row r="158" hidden="1" spans="1:8">
      <c r="A158" s="3">
        <f>VLOOKUP(B158,Sheet2!$A$1:$B$31,2,0)</f>
        <v>2</v>
      </c>
      <c r="B158" s="3" t="s">
        <v>9</v>
      </c>
      <c r="C158" s="3">
        <v>2005</v>
      </c>
      <c r="D158" s="3">
        <v>6090.5</v>
      </c>
      <c r="E158" s="3">
        <v>4722.38</v>
      </c>
      <c r="F158" s="3">
        <f ca="1" t="shared" si="4"/>
        <v>10812.88</v>
      </c>
      <c r="G158" s="3">
        <v>3158.6</v>
      </c>
      <c r="H158" s="3">
        <f ca="1" t="shared" si="5"/>
        <v>3.42331412651175</v>
      </c>
    </row>
    <row r="159" spans="1:8">
      <c r="A159" s="3">
        <f>VLOOKUP(B159,Sheet2!$A$1:$B$31,2,0)</f>
        <v>3</v>
      </c>
      <c r="B159" s="3" t="s">
        <v>10</v>
      </c>
      <c r="C159" s="3">
        <v>2005</v>
      </c>
      <c r="D159" s="3">
        <v>10764.9</v>
      </c>
      <c r="E159" s="3">
        <v>6415.23</v>
      </c>
      <c r="F159" s="3">
        <f ca="1" t="shared" si="4"/>
        <v>17180.13</v>
      </c>
      <c r="G159" s="3">
        <v>8773.4</v>
      </c>
      <c r="H159" s="3">
        <f ca="1" t="shared" si="5"/>
        <v>1.95820662456972</v>
      </c>
    </row>
    <row r="160" hidden="1" spans="1:8">
      <c r="A160" s="3">
        <f>VLOOKUP(B160,Sheet2!$A$1:$B$31,2,0)</f>
        <v>4</v>
      </c>
      <c r="B160" s="3" t="s">
        <v>11</v>
      </c>
      <c r="C160" s="3">
        <v>2005</v>
      </c>
      <c r="D160" s="3">
        <v>7088.7</v>
      </c>
      <c r="E160" s="3">
        <v>4229</v>
      </c>
      <c r="F160" s="3">
        <f ca="1" t="shared" si="4"/>
        <v>11317.7</v>
      </c>
      <c r="G160" s="3">
        <v>4079.38</v>
      </c>
      <c r="H160" s="3">
        <f ca="1" t="shared" si="5"/>
        <v>2.77436767351901</v>
      </c>
    </row>
    <row r="161" hidden="1" spans="1:8">
      <c r="A161" s="3">
        <f>VLOOKUP(B161,Sheet2!$A$1:$B$31,2,0)</f>
        <v>5</v>
      </c>
      <c r="B161" s="3" t="s">
        <v>12</v>
      </c>
      <c r="C161" s="3">
        <v>2005</v>
      </c>
      <c r="D161" s="3">
        <v>3298.15</v>
      </c>
      <c r="E161" s="3">
        <v>2588.57</v>
      </c>
      <c r="F161" s="3">
        <f ca="1" t="shared" si="4"/>
        <v>5886.72</v>
      </c>
      <c r="G161" s="3">
        <v>3523.7</v>
      </c>
      <c r="H161" s="3">
        <f ca="1" t="shared" si="5"/>
        <v>1.67060759996595</v>
      </c>
    </row>
    <row r="162" hidden="1" spans="1:8">
      <c r="A162" s="3">
        <f>VLOOKUP(B162,Sheet2!$A$1:$B$31,2,0)</f>
        <v>6</v>
      </c>
      <c r="B162" s="3" t="s">
        <v>13</v>
      </c>
      <c r="C162" s="3">
        <v>2005</v>
      </c>
      <c r="D162" s="3">
        <v>11967</v>
      </c>
      <c r="E162" s="3">
        <v>7958.1</v>
      </c>
      <c r="F162" s="3">
        <f ca="1" t="shared" si="4"/>
        <v>19925.1</v>
      </c>
      <c r="G162" s="3">
        <v>7260.77</v>
      </c>
      <c r="H162" s="3">
        <f ca="1" t="shared" si="5"/>
        <v>2.74421307932905</v>
      </c>
    </row>
    <row r="163" hidden="1" spans="1:8">
      <c r="A163" s="3">
        <f>VLOOKUP(B163,Sheet2!$A$1:$B$31,2,0)</f>
        <v>7</v>
      </c>
      <c r="B163" s="3" t="s">
        <v>14</v>
      </c>
      <c r="C163" s="3">
        <v>2005</v>
      </c>
      <c r="D163" s="3">
        <v>4270.49</v>
      </c>
      <c r="E163" s="3">
        <v>3332.93</v>
      </c>
      <c r="F163" s="3">
        <f ca="1" t="shared" si="4"/>
        <v>7603.42</v>
      </c>
      <c r="G163" s="3">
        <v>2776.53</v>
      </c>
      <c r="H163" s="3">
        <f ca="1" t="shared" si="5"/>
        <v>2.73846131682352</v>
      </c>
    </row>
    <row r="164" hidden="1" spans="1:8">
      <c r="A164" s="3">
        <f>VLOOKUP(B164,Sheet2!$A$1:$B$31,2,0)</f>
        <v>8</v>
      </c>
      <c r="B164" s="3" t="s">
        <v>15</v>
      </c>
      <c r="C164" s="3">
        <v>2005</v>
      </c>
      <c r="D164" s="3">
        <v>6135.1</v>
      </c>
      <c r="E164" s="3">
        <v>3658.5</v>
      </c>
      <c r="F164" s="3">
        <f ca="1" t="shared" si="4"/>
        <v>9793.6</v>
      </c>
      <c r="G164" s="3">
        <v>4756.4</v>
      </c>
      <c r="H164" s="3">
        <f ca="1" t="shared" si="5"/>
        <v>2.05903624590026</v>
      </c>
    </row>
    <row r="165" hidden="1" spans="1:8">
      <c r="A165" s="3">
        <f>VLOOKUP(B165,Sheet2!$A$1:$B$31,2,0)</f>
        <v>9</v>
      </c>
      <c r="B165" s="3" t="s">
        <v>16</v>
      </c>
      <c r="C165" s="3">
        <v>2005</v>
      </c>
      <c r="D165" s="3">
        <v>23320.9</v>
      </c>
      <c r="E165" s="3">
        <v>16798.1</v>
      </c>
      <c r="F165" s="3">
        <f ca="1" t="shared" si="4"/>
        <v>40119</v>
      </c>
      <c r="G165" s="3">
        <v>9197.13</v>
      </c>
      <c r="H165" s="3">
        <f ca="1" t="shared" si="5"/>
        <v>4.36212166186626</v>
      </c>
    </row>
    <row r="166" hidden="1" spans="1:8">
      <c r="A166" s="3">
        <f>VLOOKUP(B166,Sheet2!$A$1:$B$31,2,0)</f>
        <v>10</v>
      </c>
      <c r="B166" s="3" t="s">
        <v>17</v>
      </c>
      <c r="C166" s="3">
        <v>2005</v>
      </c>
      <c r="D166" s="3">
        <v>22001.4</v>
      </c>
      <c r="E166" s="3">
        <v>15396.6</v>
      </c>
      <c r="F166" s="3">
        <f ca="1" t="shared" si="4"/>
        <v>37398</v>
      </c>
      <c r="G166" s="3">
        <v>18121.3</v>
      </c>
      <c r="H166" s="3">
        <f ca="1" t="shared" si="5"/>
        <v>2.06375922257233</v>
      </c>
    </row>
    <row r="167" hidden="1" spans="1:8">
      <c r="A167" s="3">
        <f>VLOOKUP(B167,Sheet2!$A$1:$B$31,2,0)</f>
        <v>11</v>
      </c>
      <c r="B167" s="3" t="s">
        <v>18</v>
      </c>
      <c r="C167" s="3">
        <v>2005</v>
      </c>
      <c r="D167" s="3">
        <v>21117.9</v>
      </c>
      <c r="E167" s="3">
        <v>17122.1</v>
      </c>
      <c r="F167" s="3">
        <f ca="1" t="shared" si="4"/>
        <v>38240</v>
      </c>
      <c r="G167" s="3">
        <v>13028.3</v>
      </c>
      <c r="H167" s="3">
        <f ca="1" t="shared" si="5"/>
        <v>2.935148868233</v>
      </c>
    </row>
    <row r="168" hidden="1" spans="1:8">
      <c r="A168" s="3">
        <f>VLOOKUP(B168,Sheet2!$A$1:$B$31,2,0)</f>
        <v>12</v>
      </c>
      <c r="B168" s="3" t="s">
        <v>19</v>
      </c>
      <c r="C168" s="3">
        <v>2005</v>
      </c>
      <c r="D168" s="3">
        <v>6068.79</v>
      </c>
      <c r="E168" s="3">
        <v>4399.25</v>
      </c>
      <c r="F168" s="3">
        <f ca="1" t="shared" si="4"/>
        <v>10468.04</v>
      </c>
      <c r="G168" s="3">
        <v>5675.85</v>
      </c>
      <c r="H168" s="3">
        <f ca="1" t="shared" si="5"/>
        <v>1.84431230564585</v>
      </c>
    </row>
    <row r="169" hidden="1" spans="1:8">
      <c r="A169" s="3">
        <f>VLOOKUP(B169,Sheet2!$A$1:$B$31,2,0)</f>
        <v>13</v>
      </c>
      <c r="B169" s="3" t="s">
        <v>20</v>
      </c>
      <c r="C169" s="3">
        <v>2005</v>
      </c>
      <c r="D169" s="3">
        <v>7248.4</v>
      </c>
      <c r="E169" s="3">
        <v>5068.68</v>
      </c>
      <c r="F169" s="3">
        <f ca="1" t="shared" si="4"/>
        <v>12317.08</v>
      </c>
      <c r="G169" s="3">
        <v>6415.47</v>
      </c>
      <c r="H169" s="3">
        <f ca="1" t="shared" si="5"/>
        <v>1.91990298450464</v>
      </c>
    </row>
    <row r="170" hidden="1" spans="1:8">
      <c r="A170" s="3">
        <f>VLOOKUP(B170,Sheet2!$A$1:$B$31,2,0)</f>
        <v>14</v>
      </c>
      <c r="B170" s="3" t="s">
        <v>21</v>
      </c>
      <c r="C170" s="3">
        <v>2005</v>
      </c>
      <c r="D170" s="3">
        <v>4445.45</v>
      </c>
      <c r="E170" s="3">
        <v>3019</v>
      </c>
      <c r="F170" s="3">
        <f ca="1" t="shared" si="4"/>
        <v>7464.45</v>
      </c>
      <c r="G170" s="3">
        <v>3941.23</v>
      </c>
      <c r="H170" s="3">
        <f ca="1" t="shared" si="5"/>
        <v>1.89393920172129</v>
      </c>
    </row>
    <row r="171" hidden="1" spans="1:8">
      <c r="A171" s="3">
        <f>VLOOKUP(B171,Sheet2!$A$1:$B$31,2,0)</f>
        <v>15</v>
      </c>
      <c r="B171" s="3" t="s">
        <v>22</v>
      </c>
      <c r="C171" s="3">
        <v>2005</v>
      </c>
      <c r="D171" s="3">
        <v>17103.5</v>
      </c>
      <c r="E171" s="3">
        <v>13381.7</v>
      </c>
      <c r="F171" s="3">
        <f ca="1" t="shared" si="4"/>
        <v>30485.2</v>
      </c>
      <c r="G171" s="3">
        <v>15947.5</v>
      </c>
      <c r="H171" s="3">
        <f ca="1" t="shared" si="5"/>
        <v>1.91159742906412</v>
      </c>
    </row>
    <row r="172" hidden="1" spans="1:8">
      <c r="A172" s="3">
        <f>VLOOKUP(B172,Sheet2!$A$1:$B$31,2,0)</f>
        <v>16</v>
      </c>
      <c r="B172" s="3" t="s">
        <v>23</v>
      </c>
      <c r="C172" s="3">
        <v>2005</v>
      </c>
      <c r="D172" s="3">
        <v>10004</v>
      </c>
      <c r="E172" s="3">
        <v>7434.53</v>
      </c>
      <c r="F172" s="3">
        <f ca="1" t="shared" si="4"/>
        <v>17438.53</v>
      </c>
      <c r="G172" s="3">
        <v>10243.5</v>
      </c>
      <c r="H172" s="3">
        <f ca="1" t="shared" si="5"/>
        <v>1.70239957045932</v>
      </c>
    </row>
    <row r="173" hidden="1" spans="1:8">
      <c r="A173" s="3">
        <f>VLOOKUP(B173,Sheet2!$A$1:$B$31,2,0)</f>
        <v>17</v>
      </c>
      <c r="B173" s="3" t="s">
        <v>24</v>
      </c>
      <c r="C173" s="3">
        <v>2005</v>
      </c>
      <c r="D173" s="3">
        <v>8184.96</v>
      </c>
      <c r="E173" s="3">
        <v>5649.67</v>
      </c>
      <c r="F173" s="3">
        <f ca="1" t="shared" si="4"/>
        <v>13834.63</v>
      </c>
      <c r="G173" s="3">
        <v>6469.66</v>
      </c>
      <c r="H173" s="3">
        <f ca="1" t="shared" si="5"/>
        <v>2.13838594300164</v>
      </c>
    </row>
    <row r="174" hidden="1" spans="1:8">
      <c r="A174" s="3">
        <f>VLOOKUP(B174,Sheet2!$A$1:$B$31,2,0)</f>
        <v>18</v>
      </c>
      <c r="B174" s="3" t="s">
        <v>25</v>
      </c>
      <c r="C174" s="3">
        <v>2005</v>
      </c>
      <c r="D174" s="3">
        <v>6498.23</v>
      </c>
      <c r="E174" s="3">
        <v>4590.03</v>
      </c>
      <c r="F174" s="3">
        <f ca="1" t="shared" si="4"/>
        <v>11088.26</v>
      </c>
      <c r="G174" s="3">
        <v>6369.87</v>
      </c>
      <c r="H174" s="3">
        <f ca="1" t="shared" si="5"/>
        <v>1.74073568220388</v>
      </c>
    </row>
    <row r="175" hidden="1" spans="1:8">
      <c r="A175" s="3">
        <f>VLOOKUP(B175,Sheet2!$A$1:$B$31,2,0)</f>
        <v>19</v>
      </c>
      <c r="B175" s="3" t="s">
        <v>26</v>
      </c>
      <c r="C175" s="3">
        <v>2005</v>
      </c>
      <c r="D175" s="3">
        <v>38119.9</v>
      </c>
      <c r="E175" s="3">
        <v>35958.7</v>
      </c>
      <c r="F175" s="3">
        <f ca="1" t="shared" si="4"/>
        <v>74078.6</v>
      </c>
      <c r="G175" s="3">
        <v>21963</v>
      </c>
      <c r="H175" s="3">
        <f ca="1" t="shared" si="5"/>
        <v>3.37288166461777</v>
      </c>
    </row>
    <row r="176" hidden="1" spans="1:8">
      <c r="A176" s="3">
        <f>VLOOKUP(B176,Sheet2!$A$1:$B$31,2,0)</f>
        <v>20</v>
      </c>
      <c r="B176" s="3" t="s">
        <v>27</v>
      </c>
      <c r="C176" s="3">
        <v>2005</v>
      </c>
      <c r="D176" s="3">
        <v>4262.3</v>
      </c>
      <c r="E176" s="3">
        <v>3104.6</v>
      </c>
      <c r="F176" s="3">
        <f ca="1" t="shared" si="4"/>
        <v>7366.9</v>
      </c>
      <c r="G176" s="3">
        <v>3742.14</v>
      </c>
      <c r="H176" s="3">
        <f ca="1" t="shared" si="5"/>
        <v>1.96863292126965</v>
      </c>
    </row>
    <row r="177" hidden="1" spans="1:8">
      <c r="A177" s="3">
        <f>VLOOKUP(B177,Sheet2!$A$1:$B$31,2,0)</f>
        <v>21</v>
      </c>
      <c r="B177" s="3" t="s">
        <v>28</v>
      </c>
      <c r="C177" s="3">
        <v>2005</v>
      </c>
      <c r="D177" s="3">
        <v>1302.29</v>
      </c>
      <c r="E177" s="3">
        <v>996.32</v>
      </c>
      <c r="F177" s="3">
        <f ca="1" t="shared" si="4"/>
        <v>2298.61</v>
      </c>
      <c r="G177" s="3">
        <v>884.87</v>
      </c>
      <c r="H177" s="3">
        <f ca="1" t="shared" si="5"/>
        <v>2.59768101529038</v>
      </c>
    </row>
    <row r="178" hidden="1" spans="1:8">
      <c r="A178" s="3">
        <f>VLOOKUP(B178,Sheet2!$A$1:$B$31,2,0)</f>
        <v>22</v>
      </c>
      <c r="B178" s="3" t="s">
        <v>29</v>
      </c>
      <c r="C178" s="3">
        <v>2005</v>
      </c>
      <c r="D178" s="3">
        <v>4784.76</v>
      </c>
      <c r="E178" s="3">
        <v>3779.28</v>
      </c>
      <c r="F178" s="3">
        <f ca="1" t="shared" si="4"/>
        <v>8564.04</v>
      </c>
      <c r="G178" s="3">
        <v>3448.35</v>
      </c>
      <c r="H178" s="3">
        <f ca="1" t="shared" si="5"/>
        <v>2.48351820435861</v>
      </c>
    </row>
    <row r="179" hidden="1" spans="1:8">
      <c r="A179" s="3">
        <f>VLOOKUP(B179,Sheet2!$A$1:$B$31,2,0)</f>
        <v>23</v>
      </c>
      <c r="B179" s="3" t="s">
        <v>30</v>
      </c>
      <c r="C179" s="3">
        <v>2005</v>
      </c>
      <c r="D179" s="3">
        <v>9905.33</v>
      </c>
      <c r="E179" s="3">
        <v>10519.2</v>
      </c>
      <c r="F179" s="3">
        <f ca="1" t="shared" si="4"/>
        <v>20424.53</v>
      </c>
      <c r="G179" s="3">
        <v>7195.88</v>
      </c>
      <c r="H179" s="3">
        <f ca="1" t="shared" si="5"/>
        <v>2.83836445299255</v>
      </c>
    </row>
    <row r="180" hidden="1" spans="1:8">
      <c r="A180" s="3">
        <f>VLOOKUP(B180,Sheet2!$A$1:$B$31,2,0)</f>
        <v>24</v>
      </c>
      <c r="B180" s="3" t="s">
        <v>31</v>
      </c>
      <c r="C180" s="3">
        <v>2005</v>
      </c>
      <c r="D180" s="3">
        <v>2777.54</v>
      </c>
      <c r="E180" s="3">
        <v>2303.93</v>
      </c>
      <c r="F180" s="3">
        <f ca="1" t="shared" si="4"/>
        <v>5081.47</v>
      </c>
      <c r="G180" s="3">
        <v>1939.94</v>
      </c>
      <c r="H180" s="3">
        <f ca="1" t="shared" si="5"/>
        <v>2.61939544521995</v>
      </c>
    </row>
    <row r="181" hidden="1" spans="1:8">
      <c r="A181" s="3">
        <f>VLOOKUP(B181,Sheet2!$A$1:$B$31,2,0)</f>
        <v>25</v>
      </c>
      <c r="B181" s="3" t="s">
        <v>32</v>
      </c>
      <c r="C181" s="3">
        <v>2005</v>
      </c>
      <c r="D181" s="3">
        <v>5140.5</v>
      </c>
      <c r="E181" s="3">
        <v>3987.58</v>
      </c>
      <c r="F181" s="3">
        <f ca="1" t="shared" si="4"/>
        <v>9128.08</v>
      </c>
      <c r="G181" s="3">
        <v>3497.69</v>
      </c>
      <c r="H181" s="3">
        <f ca="1" t="shared" si="5"/>
        <v>2.60974528903362</v>
      </c>
    </row>
    <row r="182" hidden="1" spans="1:8">
      <c r="A182" s="3">
        <f>VLOOKUP(B182,Sheet2!$A$1:$B$31,2,0)</f>
        <v>26</v>
      </c>
      <c r="B182" s="3" t="s">
        <v>33</v>
      </c>
      <c r="C182" s="3">
        <v>2005</v>
      </c>
      <c r="D182" s="3">
        <v>455.11</v>
      </c>
      <c r="E182" s="3">
        <v>178.85</v>
      </c>
      <c r="F182" s="3">
        <f ca="1" t="shared" si="4"/>
        <v>633.96</v>
      </c>
      <c r="G182" s="3">
        <v>243.09</v>
      </c>
      <c r="H182" s="3">
        <f ca="1" t="shared" si="5"/>
        <v>2.60792299148464</v>
      </c>
    </row>
    <row r="183" hidden="1" spans="1:8">
      <c r="A183" s="3">
        <f>VLOOKUP(B183,Sheet2!$A$1:$B$31,2,0)</f>
        <v>27</v>
      </c>
      <c r="B183" s="3" t="s">
        <v>34</v>
      </c>
      <c r="C183" s="3">
        <v>2005</v>
      </c>
      <c r="D183" s="3">
        <v>6446.48</v>
      </c>
      <c r="E183" s="3">
        <v>3983.19</v>
      </c>
      <c r="F183" s="3">
        <f ca="1" t="shared" si="4"/>
        <v>10429.67</v>
      </c>
      <c r="G183" s="3">
        <v>3817.15</v>
      </c>
      <c r="H183" s="3">
        <f ca="1" t="shared" si="5"/>
        <v>2.73231861467325</v>
      </c>
    </row>
    <row r="184" hidden="1" spans="1:8">
      <c r="A184" s="3">
        <f>VLOOKUP(B184,Sheet2!$A$1:$B$31,2,0)</f>
        <v>28</v>
      </c>
      <c r="B184" s="3" t="s">
        <v>35</v>
      </c>
      <c r="C184" s="3">
        <v>2005</v>
      </c>
      <c r="D184" s="3">
        <v>2895.86</v>
      </c>
      <c r="E184" s="3">
        <v>1923.46</v>
      </c>
      <c r="F184" s="3">
        <f ca="1" t="shared" si="4"/>
        <v>4819.32</v>
      </c>
      <c r="G184" s="3">
        <v>1864.63</v>
      </c>
      <c r="H184" s="3">
        <f ca="1" t="shared" si="5"/>
        <v>2.58459855306415</v>
      </c>
    </row>
    <row r="185" hidden="1" spans="1:8">
      <c r="A185" s="3">
        <f>VLOOKUP(B185,Sheet2!$A$1:$B$31,2,0)</f>
        <v>29</v>
      </c>
      <c r="B185" s="3" t="s">
        <v>36</v>
      </c>
      <c r="C185" s="3">
        <v>2005</v>
      </c>
      <c r="D185" s="3">
        <v>733.05</v>
      </c>
      <c r="E185" s="3">
        <v>638.59</v>
      </c>
      <c r="F185" s="3">
        <f ca="1" t="shared" si="4"/>
        <v>1371.64</v>
      </c>
      <c r="G185" s="3">
        <v>499.42</v>
      </c>
      <c r="H185" s="3">
        <f ca="1" t="shared" si="5"/>
        <v>2.74646590044451</v>
      </c>
    </row>
    <row r="186" hidden="1" spans="1:8">
      <c r="A186" s="3">
        <f>VLOOKUP(B186,Sheet2!$A$1:$B$31,2,0)</f>
        <v>30</v>
      </c>
      <c r="B186" s="3" t="s">
        <v>37</v>
      </c>
      <c r="C186" s="3">
        <v>2005</v>
      </c>
      <c r="D186" s="3">
        <v>985.34</v>
      </c>
      <c r="E186" s="3">
        <v>833.88</v>
      </c>
      <c r="F186" s="3">
        <f ca="1" t="shared" si="4"/>
        <v>1819.22</v>
      </c>
      <c r="G186" s="3">
        <v>579.9</v>
      </c>
      <c r="H186" s="3">
        <f ca="1" t="shared" si="5"/>
        <v>3.13712709087774</v>
      </c>
    </row>
    <row r="187" hidden="1" spans="1:8">
      <c r="A187" s="3">
        <f>VLOOKUP(B187,Sheet2!$A$1:$B$31,2,0)</f>
        <v>31</v>
      </c>
      <c r="B187" s="3" t="s">
        <v>38</v>
      </c>
      <c r="C187" s="3">
        <v>2005</v>
      </c>
      <c r="D187" s="3">
        <v>3427.48</v>
      </c>
      <c r="E187" s="3">
        <v>2272.08</v>
      </c>
      <c r="F187" s="3">
        <f ca="1" t="shared" si="4"/>
        <v>5699.56</v>
      </c>
      <c r="G187" s="3">
        <v>2520.5</v>
      </c>
      <c r="H187" s="3">
        <f ca="1" t="shared" si="5"/>
        <v>2.26128149176751</v>
      </c>
    </row>
    <row r="188" hidden="1" spans="1:8">
      <c r="A188" s="3">
        <f>VLOOKUP(B188,Sheet2!$A$1:$B$31,2,0)</f>
        <v>1</v>
      </c>
      <c r="B188" s="3" t="s">
        <v>8</v>
      </c>
      <c r="C188" s="3">
        <v>2006</v>
      </c>
      <c r="D188" s="3">
        <v>33793.3</v>
      </c>
      <c r="E188" s="3">
        <v>18131.6</v>
      </c>
      <c r="F188" s="3">
        <f ca="1" t="shared" si="4"/>
        <v>51924.9</v>
      </c>
      <c r="G188" s="3">
        <v>8387</v>
      </c>
      <c r="H188" s="3">
        <f ca="1" t="shared" si="5"/>
        <v>6.19111720519852</v>
      </c>
    </row>
    <row r="189" hidden="1" spans="1:8">
      <c r="A189" s="3">
        <f>VLOOKUP(B189,Sheet2!$A$1:$B$31,2,0)</f>
        <v>2</v>
      </c>
      <c r="B189" s="3" t="s">
        <v>9</v>
      </c>
      <c r="C189" s="3">
        <v>2006</v>
      </c>
      <c r="D189" s="3">
        <v>6839.2</v>
      </c>
      <c r="E189" s="3">
        <v>5415.72</v>
      </c>
      <c r="F189" s="3">
        <f ca="1" t="shared" si="4"/>
        <v>12254.92</v>
      </c>
      <c r="G189" s="3">
        <v>3538.2</v>
      </c>
      <c r="H189" s="3">
        <f ca="1" t="shared" si="5"/>
        <v>3.46360296195806</v>
      </c>
    </row>
    <row r="190" spans="1:8">
      <c r="A190" s="3">
        <f>VLOOKUP(B190,Sheet2!$A$1:$B$31,2,0)</f>
        <v>3</v>
      </c>
      <c r="B190" s="3" t="s">
        <v>10</v>
      </c>
      <c r="C190" s="3">
        <v>2006</v>
      </c>
      <c r="D190" s="3">
        <v>12551.6</v>
      </c>
      <c r="E190" s="3">
        <v>7411.88</v>
      </c>
      <c r="F190" s="3">
        <f ca="1" t="shared" si="4"/>
        <v>19963.48</v>
      </c>
      <c r="G190" s="3">
        <v>10043</v>
      </c>
      <c r="H190" s="3">
        <f ca="1" t="shared" si="5"/>
        <v>1.98780045803047</v>
      </c>
    </row>
    <row r="191" hidden="1" spans="1:8">
      <c r="A191" s="3">
        <f>VLOOKUP(B191,Sheet2!$A$1:$B$31,2,0)</f>
        <v>4</v>
      </c>
      <c r="B191" s="3" t="s">
        <v>11</v>
      </c>
      <c r="C191" s="3">
        <v>2006</v>
      </c>
      <c r="D191" s="3">
        <v>8577.46</v>
      </c>
      <c r="E191" s="3">
        <v>4788.51</v>
      </c>
      <c r="F191" s="3">
        <f ca="1" t="shared" si="4"/>
        <v>13365.97</v>
      </c>
      <c r="G191" s="3">
        <v>4713.6</v>
      </c>
      <c r="H191" s="3">
        <f ca="1" t="shared" si="5"/>
        <v>2.83561821113374</v>
      </c>
    </row>
    <row r="192" hidden="1" spans="1:8">
      <c r="A192" s="3">
        <f>VLOOKUP(B192,Sheet2!$A$1:$B$31,2,0)</f>
        <v>5</v>
      </c>
      <c r="B192" s="3" t="s">
        <v>12</v>
      </c>
      <c r="C192" s="3">
        <v>2006</v>
      </c>
      <c r="D192" s="3">
        <v>4036.56</v>
      </c>
      <c r="E192" s="3">
        <v>3205.19</v>
      </c>
      <c r="F192" s="3">
        <f ca="1" t="shared" si="4"/>
        <v>7241.75</v>
      </c>
      <c r="G192" s="3">
        <v>4161.75</v>
      </c>
      <c r="H192" s="3">
        <f ca="1" t="shared" si="5"/>
        <v>1.74007328647804</v>
      </c>
    </row>
    <row r="193" hidden="1" spans="1:8">
      <c r="A193" s="3">
        <f>VLOOKUP(B193,Sheet2!$A$1:$B$31,2,0)</f>
        <v>6</v>
      </c>
      <c r="B193" s="3" t="s">
        <v>13</v>
      </c>
      <c r="C193" s="3">
        <v>2006</v>
      </c>
      <c r="D193" s="3">
        <v>13596.8</v>
      </c>
      <c r="E193" s="3">
        <v>9117.2</v>
      </c>
      <c r="F193" s="3">
        <f ca="1" t="shared" si="4"/>
        <v>22714</v>
      </c>
      <c r="G193" s="3">
        <v>8390.34</v>
      </c>
      <c r="H193" s="3">
        <f ca="1" t="shared" si="5"/>
        <v>2.70716085402975</v>
      </c>
    </row>
    <row r="194" hidden="1" spans="1:8">
      <c r="A194" s="3">
        <f>VLOOKUP(B194,Sheet2!$A$1:$B$31,2,0)</f>
        <v>7</v>
      </c>
      <c r="B194" s="3" t="s">
        <v>14</v>
      </c>
      <c r="C194" s="3">
        <v>2006</v>
      </c>
      <c r="D194" s="3">
        <v>4963.71</v>
      </c>
      <c r="E194" s="3">
        <v>3870.33</v>
      </c>
      <c r="F194" s="3">
        <f ca="1" t="shared" ref="F194:F257" si="6">D194+E194</f>
        <v>8834.04</v>
      </c>
      <c r="G194" s="3">
        <v>3226.47</v>
      </c>
      <c r="H194" s="3">
        <f ca="1" t="shared" ref="H194:H257" si="7">F194/G194</f>
        <v>2.73798919562246</v>
      </c>
    </row>
    <row r="195" hidden="1" spans="1:8">
      <c r="A195" s="3">
        <f>VLOOKUP(B195,Sheet2!$A$1:$B$31,2,0)</f>
        <v>8</v>
      </c>
      <c r="B195" s="3" t="s">
        <v>15</v>
      </c>
      <c r="C195" s="3">
        <v>2006</v>
      </c>
      <c r="D195" s="3">
        <v>6923.4</v>
      </c>
      <c r="E195" s="3">
        <v>3971.9</v>
      </c>
      <c r="F195" s="3">
        <f ca="1" t="shared" si="6"/>
        <v>10895.3</v>
      </c>
      <c r="G195" s="3">
        <v>5329.75</v>
      </c>
      <c r="H195" s="3">
        <f ca="1" t="shared" si="7"/>
        <v>2.04424222524509</v>
      </c>
    </row>
    <row r="196" hidden="1" spans="1:8">
      <c r="A196" s="3">
        <f>VLOOKUP(B196,Sheet2!$A$1:$B$31,2,0)</f>
        <v>9</v>
      </c>
      <c r="B196" s="3" t="s">
        <v>16</v>
      </c>
      <c r="C196" s="3">
        <v>2006</v>
      </c>
      <c r="D196" s="3">
        <v>26454.9</v>
      </c>
      <c r="E196" s="3">
        <v>18603.9</v>
      </c>
      <c r="F196" s="3">
        <f ca="1" t="shared" si="6"/>
        <v>45058.8</v>
      </c>
      <c r="G196" s="3">
        <v>10598.9</v>
      </c>
      <c r="H196" s="3">
        <f ca="1" t="shared" si="7"/>
        <v>4.25127135834851</v>
      </c>
    </row>
    <row r="197" hidden="1" spans="1:8">
      <c r="A197" s="3">
        <f>VLOOKUP(B197,Sheet2!$A$1:$B$31,2,0)</f>
        <v>10</v>
      </c>
      <c r="B197" s="3" t="s">
        <v>17</v>
      </c>
      <c r="C197" s="3">
        <v>2006</v>
      </c>
      <c r="D197" s="3">
        <v>25860.5</v>
      </c>
      <c r="E197" s="3">
        <v>18485</v>
      </c>
      <c r="F197" s="3">
        <f ca="1" t="shared" si="6"/>
        <v>44345.5</v>
      </c>
      <c r="G197" s="3">
        <v>21240.8</v>
      </c>
      <c r="H197" s="3">
        <f ca="1" t="shared" si="7"/>
        <v>2.08775093216828</v>
      </c>
    </row>
    <row r="198" hidden="1" spans="1:8">
      <c r="A198" s="3">
        <f>VLOOKUP(B198,Sheet2!$A$1:$B$31,2,0)</f>
        <v>11</v>
      </c>
      <c r="B198" s="3" t="s">
        <v>18</v>
      </c>
      <c r="C198" s="3">
        <v>2006</v>
      </c>
      <c r="D198" s="3">
        <v>25005.9</v>
      </c>
      <c r="E198" s="3">
        <v>20757.8</v>
      </c>
      <c r="F198" s="3">
        <f ca="1" t="shared" si="6"/>
        <v>45763.7</v>
      </c>
      <c r="G198" s="3">
        <v>15302.7</v>
      </c>
      <c r="H198" s="3">
        <f ca="1" t="shared" si="7"/>
        <v>2.99056375672267</v>
      </c>
    </row>
    <row r="199" hidden="1" spans="1:8">
      <c r="A199" s="3">
        <f>VLOOKUP(B199,Sheet2!$A$1:$B$31,2,0)</f>
        <v>12</v>
      </c>
      <c r="B199" s="3" t="s">
        <v>19</v>
      </c>
      <c r="C199" s="3">
        <v>2006</v>
      </c>
      <c r="D199" s="3">
        <v>7177.91</v>
      </c>
      <c r="E199" s="3">
        <v>5205.23</v>
      </c>
      <c r="F199" s="3">
        <f ca="1" t="shared" si="6"/>
        <v>12383.14</v>
      </c>
      <c r="G199" s="3">
        <v>6500.31</v>
      </c>
      <c r="H199" s="3">
        <f ca="1" t="shared" si="7"/>
        <v>1.9050076073295</v>
      </c>
    </row>
    <row r="200" hidden="1" spans="1:8">
      <c r="A200" s="3">
        <f>VLOOKUP(B200,Sheet2!$A$1:$B$31,2,0)</f>
        <v>13</v>
      </c>
      <c r="B200" s="3" t="s">
        <v>20</v>
      </c>
      <c r="C200" s="3">
        <v>2006</v>
      </c>
      <c r="D200" s="3">
        <v>8836.26</v>
      </c>
      <c r="E200" s="3">
        <v>6447.72</v>
      </c>
      <c r="F200" s="3">
        <f ca="1" t="shared" si="6"/>
        <v>15283.98</v>
      </c>
      <c r="G200" s="3">
        <v>7468.57</v>
      </c>
      <c r="H200" s="3">
        <f ca="1" t="shared" si="7"/>
        <v>2.04643994767405</v>
      </c>
    </row>
    <row r="201" hidden="1" spans="1:8">
      <c r="A201" s="3">
        <f>VLOOKUP(B201,Sheet2!$A$1:$B$31,2,0)</f>
        <v>14</v>
      </c>
      <c r="B201" s="3" t="s">
        <v>21</v>
      </c>
      <c r="C201" s="3">
        <v>2006</v>
      </c>
      <c r="D201" s="3">
        <v>5213.76</v>
      </c>
      <c r="E201" s="3">
        <v>3460.8</v>
      </c>
      <c r="F201" s="3">
        <f ca="1" t="shared" si="6"/>
        <v>8674.56</v>
      </c>
      <c r="G201" s="3">
        <v>4696.8</v>
      </c>
      <c r="H201" s="3">
        <f ca="1" t="shared" si="7"/>
        <v>1.8469085334696</v>
      </c>
    </row>
    <row r="202" hidden="1" spans="1:8">
      <c r="A202" s="3">
        <f>VLOOKUP(B202,Sheet2!$A$1:$B$31,2,0)</f>
        <v>15</v>
      </c>
      <c r="B202" s="3" t="s">
        <v>22</v>
      </c>
      <c r="C202" s="3">
        <v>2006</v>
      </c>
      <c r="D202" s="3">
        <v>19634</v>
      </c>
      <c r="E202" s="3">
        <v>15709.6</v>
      </c>
      <c r="F202" s="3">
        <f ca="1" t="shared" si="6"/>
        <v>35343.6</v>
      </c>
      <c r="G202" s="3">
        <v>18967.8</v>
      </c>
      <c r="H202" s="3">
        <f ca="1" t="shared" si="7"/>
        <v>1.86334735709993</v>
      </c>
    </row>
    <row r="203" hidden="1" spans="1:8">
      <c r="A203" s="3">
        <f>VLOOKUP(B203,Sheet2!$A$1:$B$31,2,0)</f>
        <v>16</v>
      </c>
      <c r="B203" s="3" t="s">
        <v>23</v>
      </c>
      <c r="C203" s="3">
        <v>2006</v>
      </c>
      <c r="D203" s="3">
        <v>11492.5</v>
      </c>
      <c r="E203" s="3">
        <v>8567.33</v>
      </c>
      <c r="F203" s="3">
        <f ca="1" t="shared" si="6"/>
        <v>20059.83</v>
      </c>
      <c r="G203" s="3">
        <v>11977.9</v>
      </c>
      <c r="H203" s="3">
        <f ca="1" t="shared" si="7"/>
        <v>1.67473680695281</v>
      </c>
    </row>
    <row r="204" hidden="1" spans="1:8">
      <c r="A204" s="3">
        <f>VLOOKUP(B204,Sheet2!$A$1:$B$31,2,0)</f>
        <v>17</v>
      </c>
      <c r="B204" s="3" t="s">
        <v>24</v>
      </c>
      <c r="C204" s="3">
        <v>2006</v>
      </c>
      <c r="D204" s="3">
        <v>9570.97</v>
      </c>
      <c r="E204" s="3">
        <v>6430.44</v>
      </c>
      <c r="F204" s="3">
        <f ca="1" t="shared" si="6"/>
        <v>16001.41</v>
      </c>
      <c r="G204" s="3">
        <v>7531.8</v>
      </c>
      <c r="H204" s="3">
        <f ca="1" t="shared" si="7"/>
        <v>2.12451339653204</v>
      </c>
    </row>
    <row r="205" hidden="1" spans="1:8">
      <c r="A205" s="3">
        <f>VLOOKUP(B205,Sheet2!$A$1:$B$31,2,0)</f>
        <v>18</v>
      </c>
      <c r="B205" s="3" t="s">
        <v>25</v>
      </c>
      <c r="C205" s="3">
        <v>2006</v>
      </c>
      <c r="D205" s="3">
        <v>7719.43</v>
      </c>
      <c r="E205" s="3">
        <v>5233.6</v>
      </c>
      <c r="F205" s="3">
        <f ca="1" t="shared" si="6"/>
        <v>12953.03</v>
      </c>
      <c r="G205" s="3">
        <v>7431.55</v>
      </c>
      <c r="H205" s="3">
        <f ca="1" t="shared" si="7"/>
        <v>1.74297824814473</v>
      </c>
    </row>
    <row r="206" hidden="1" spans="1:8">
      <c r="A206" s="3">
        <f>VLOOKUP(B206,Sheet2!$A$1:$B$31,2,0)</f>
        <v>19</v>
      </c>
      <c r="B206" s="3" t="s">
        <v>26</v>
      </c>
      <c r="C206" s="3">
        <v>2006</v>
      </c>
      <c r="D206" s="3">
        <v>43262.2</v>
      </c>
      <c r="E206" s="3">
        <v>41146.6</v>
      </c>
      <c r="F206" s="3">
        <f ca="1" t="shared" si="6"/>
        <v>84408.8</v>
      </c>
      <c r="G206" s="3">
        <v>25961.2</v>
      </c>
      <c r="H206" s="3">
        <f ca="1" t="shared" si="7"/>
        <v>3.25134431382216</v>
      </c>
    </row>
    <row r="207" hidden="1" spans="1:8">
      <c r="A207" s="3">
        <f>VLOOKUP(B207,Sheet2!$A$1:$B$31,2,0)</f>
        <v>20</v>
      </c>
      <c r="B207" s="3" t="s">
        <v>27</v>
      </c>
      <c r="C207" s="3">
        <v>2006</v>
      </c>
      <c r="D207" s="3">
        <v>5029.47</v>
      </c>
      <c r="E207" s="3">
        <v>3636.9</v>
      </c>
      <c r="F207" s="3">
        <f ca="1" t="shared" si="6"/>
        <v>8666.37</v>
      </c>
      <c r="G207" s="3">
        <v>4417.77</v>
      </c>
      <c r="H207" s="3">
        <f ca="1" t="shared" si="7"/>
        <v>1.96170692453432</v>
      </c>
    </row>
    <row r="208" hidden="1" spans="1:8">
      <c r="A208" s="3">
        <f>VLOOKUP(B208,Sheet2!$A$1:$B$31,2,0)</f>
        <v>21</v>
      </c>
      <c r="B208" s="3" t="s">
        <v>28</v>
      </c>
      <c r="C208" s="3">
        <v>2006</v>
      </c>
      <c r="D208" s="3">
        <v>1560.3</v>
      </c>
      <c r="E208" s="3">
        <v>1123.34</v>
      </c>
      <c r="F208" s="3">
        <f ca="1" t="shared" si="6"/>
        <v>2683.64</v>
      </c>
      <c r="G208" s="3">
        <v>1027.45</v>
      </c>
      <c r="H208" s="3">
        <f ca="1" t="shared" si="7"/>
        <v>2.61194218696774</v>
      </c>
    </row>
    <row r="209" hidden="1" spans="1:8">
      <c r="A209" s="3">
        <f>VLOOKUP(B209,Sheet2!$A$1:$B$31,2,0)</f>
        <v>22</v>
      </c>
      <c r="B209" s="3" t="s">
        <v>29</v>
      </c>
      <c r="C209" s="3">
        <v>2006</v>
      </c>
      <c r="D209" s="3">
        <v>5587.5</v>
      </c>
      <c r="E209" s="3">
        <v>4443.84</v>
      </c>
      <c r="F209" s="3">
        <f ca="1" t="shared" si="6"/>
        <v>10031.34</v>
      </c>
      <c r="G209" s="3">
        <v>3900.26</v>
      </c>
      <c r="H209" s="3">
        <f ca="1" t="shared" si="7"/>
        <v>2.57196699707199</v>
      </c>
    </row>
    <row r="210" hidden="1" spans="1:8">
      <c r="A210" s="3">
        <f>VLOOKUP(B210,Sheet2!$A$1:$B$31,2,0)</f>
        <v>23</v>
      </c>
      <c r="B210" s="3" t="s">
        <v>30</v>
      </c>
      <c r="C210" s="3">
        <v>2006</v>
      </c>
      <c r="D210" s="3">
        <v>11802.1</v>
      </c>
      <c r="E210" s="3">
        <v>11616</v>
      </c>
      <c r="F210" s="3">
        <f ca="1" t="shared" si="6"/>
        <v>23418.1</v>
      </c>
      <c r="G210" s="3">
        <v>8494.68</v>
      </c>
      <c r="H210" s="3">
        <f ca="1" t="shared" si="7"/>
        <v>2.75679601821375</v>
      </c>
    </row>
    <row r="211" hidden="1" spans="1:8">
      <c r="A211" s="3">
        <f>VLOOKUP(B211,Sheet2!$A$1:$B$31,2,0)</f>
        <v>24</v>
      </c>
      <c r="B211" s="3" t="s">
        <v>31</v>
      </c>
      <c r="C211" s="3">
        <v>2006</v>
      </c>
      <c r="D211" s="3">
        <v>3300.08</v>
      </c>
      <c r="E211" s="3">
        <v>2696.11</v>
      </c>
      <c r="F211" s="3">
        <f ca="1" t="shared" si="6"/>
        <v>5996.19</v>
      </c>
      <c r="G211" s="3">
        <v>2264.09</v>
      </c>
      <c r="H211" s="3">
        <f ca="1" t="shared" si="7"/>
        <v>2.64838853579142</v>
      </c>
    </row>
    <row r="212" hidden="1" spans="1:8">
      <c r="A212" s="3">
        <f>VLOOKUP(B212,Sheet2!$A$1:$B$31,2,0)</f>
        <v>25</v>
      </c>
      <c r="B212" s="3" t="s">
        <v>32</v>
      </c>
      <c r="C212" s="3">
        <v>2006</v>
      </c>
      <c r="D212" s="3">
        <v>6131.25</v>
      </c>
      <c r="E212" s="3">
        <v>4803.51</v>
      </c>
      <c r="F212" s="3">
        <f ca="1" t="shared" si="6"/>
        <v>10934.76</v>
      </c>
      <c r="G212" s="3">
        <v>4090.66</v>
      </c>
      <c r="H212" s="3">
        <f ca="1" t="shared" si="7"/>
        <v>2.6731040956716</v>
      </c>
    </row>
    <row r="213" hidden="1" spans="1:8">
      <c r="A213" s="3">
        <f>VLOOKUP(B213,Sheet2!$A$1:$B$31,2,0)</f>
        <v>26</v>
      </c>
      <c r="B213" s="3" t="s">
        <v>33</v>
      </c>
      <c r="C213" s="3">
        <v>2006</v>
      </c>
      <c r="D213" s="3">
        <v>544.55</v>
      </c>
      <c r="E213" s="3">
        <v>203.71</v>
      </c>
      <c r="F213" s="3">
        <f ca="1" t="shared" si="6"/>
        <v>748.26</v>
      </c>
      <c r="G213" s="3">
        <v>285.85</v>
      </c>
      <c r="H213" s="3">
        <f ca="1" t="shared" si="7"/>
        <v>2.61766660836103</v>
      </c>
    </row>
    <row r="214" hidden="1" spans="1:8">
      <c r="A214" s="3">
        <f>VLOOKUP(B214,Sheet2!$A$1:$B$31,2,0)</f>
        <v>27</v>
      </c>
      <c r="B214" s="3" t="s">
        <v>34</v>
      </c>
      <c r="C214" s="3">
        <v>2006</v>
      </c>
      <c r="D214" s="3">
        <v>7452.53</v>
      </c>
      <c r="E214" s="3">
        <v>4463.21</v>
      </c>
      <c r="F214" s="3">
        <f ca="1" t="shared" si="6"/>
        <v>11915.74</v>
      </c>
      <c r="G214" s="3">
        <v>4595.64</v>
      </c>
      <c r="H214" s="3">
        <f ca="1" t="shared" si="7"/>
        <v>2.59283581829734</v>
      </c>
    </row>
    <row r="215" hidden="1" spans="1:8">
      <c r="A215" s="3">
        <f>VLOOKUP(B215,Sheet2!$A$1:$B$31,2,0)</f>
        <v>28</v>
      </c>
      <c r="B215" s="3" t="s">
        <v>35</v>
      </c>
      <c r="C215" s="3">
        <v>2006</v>
      </c>
      <c r="D215" s="3">
        <v>3316.96</v>
      </c>
      <c r="E215" s="3">
        <v>2112.08</v>
      </c>
      <c r="F215" s="3">
        <f ca="1" t="shared" si="6"/>
        <v>5429.04</v>
      </c>
      <c r="G215" s="3">
        <v>2202.97</v>
      </c>
      <c r="H215" s="3">
        <f ca="1" t="shared" si="7"/>
        <v>2.46441848958452</v>
      </c>
    </row>
    <row r="216" hidden="1" spans="1:8">
      <c r="A216" s="3">
        <f>VLOOKUP(B216,Sheet2!$A$1:$B$31,2,0)</f>
        <v>29</v>
      </c>
      <c r="B216" s="3" t="s">
        <v>36</v>
      </c>
      <c r="C216" s="3">
        <v>2006</v>
      </c>
      <c r="D216" s="3">
        <v>896.78</v>
      </c>
      <c r="E216" s="3">
        <v>723.18</v>
      </c>
      <c r="F216" s="3">
        <f ca="1" t="shared" si="6"/>
        <v>1619.96</v>
      </c>
      <c r="G216" s="3">
        <v>585.15</v>
      </c>
      <c r="H216" s="3">
        <f ca="1" t="shared" si="7"/>
        <v>2.76845253353841</v>
      </c>
    </row>
    <row r="217" hidden="1" spans="1:8">
      <c r="A217" s="3">
        <f>VLOOKUP(B217,Sheet2!$A$1:$B$31,2,0)</f>
        <v>30</v>
      </c>
      <c r="B217" s="3" t="s">
        <v>37</v>
      </c>
      <c r="C217" s="3">
        <v>2006</v>
      </c>
      <c r="D217" s="3">
        <v>1131.22</v>
      </c>
      <c r="E217" s="3">
        <v>983.37</v>
      </c>
      <c r="F217" s="3">
        <f ca="1" t="shared" si="6"/>
        <v>2114.59</v>
      </c>
      <c r="G217" s="3">
        <v>683.3</v>
      </c>
      <c r="H217" s="3">
        <f ca="1" t="shared" si="7"/>
        <v>3.0946729108737</v>
      </c>
    </row>
    <row r="218" hidden="1" spans="1:8">
      <c r="A218" s="3">
        <f>VLOOKUP(B218,Sheet2!$A$1:$B$31,2,0)</f>
        <v>31</v>
      </c>
      <c r="B218" s="3" t="s">
        <v>38</v>
      </c>
      <c r="C218" s="3">
        <v>2006</v>
      </c>
      <c r="D218" s="3">
        <v>4040.78</v>
      </c>
      <c r="E218" s="3">
        <v>2412.69</v>
      </c>
      <c r="F218" s="3">
        <f ca="1" t="shared" si="6"/>
        <v>6453.47</v>
      </c>
      <c r="G218" s="3">
        <v>2957.3</v>
      </c>
      <c r="H218" s="3">
        <f ca="1" t="shared" si="7"/>
        <v>2.18221688702533</v>
      </c>
    </row>
    <row r="219" hidden="1" spans="1:8">
      <c r="A219" s="3">
        <f>VLOOKUP(B219,Sheet2!$A$1:$B$31,2,0)</f>
        <v>1</v>
      </c>
      <c r="B219" s="3" t="s">
        <v>8</v>
      </c>
      <c r="C219" s="3">
        <v>2007</v>
      </c>
      <c r="D219" s="3">
        <v>37700.3</v>
      </c>
      <c r="E219" s="3">
        <v>19861.5</v>
      </c>
      <c r="F219" s="3">
        <f ca="1" t="shared" si="6"/>
        <v>57561.8</v>
      </c>
      <c r="G219" s="3">
        <v>10425.5</v>
      </c>
      <c r="H219" s="3">
        <f ca="1" t="shared" si="7"/>
        <v>5.52125077933912</v>
      </c>
    </row>
    <row r="220" hidden="1" spans="1:8">
      <c r="A220" s="3">
        <f>VLOOKUP(B220,Sheet2!$A$1:$B$31,2,0)</f>
        <v>2</v>
      </c>
      <c r="B220" s="3" t="s">
        <v>9</v>
      </c>
      <c r="C220" s="3">
        <v>2007</v>
      </c>
      <c r="D220" s="3">
        <v>8242.07</v>
      </c>
      <c r="E220" s="3">
        <v>6543.83</v>
      </c>
      <c r="F220" s="3">
        <f ca="1" t="shared" si="6"/>
        <v>14785.9</v>
      </c>
      <c r="G220" s="3">
        <v>4158.4</v>
      </c>
      <c r="H220" s="3">
        <f ca="1" t="shared" si="7"/>
        <v>3.55567045017314</v>
      </c>
    </row>
    <row r="221" spans="1:8">
      <c r="A221" s="3">
        <f>VLOOKUP(B221,Sheet2!$A$1:$B$31,2,0)</f>
        <v>3</v>
      </c>
      <c r="B221" s="3" t="s">
        <v>10</v>
      </c>
      <c r="C221" s="3">
        <v>2007</v>
      </c>
      <c r="D221" s="3">
        <v>14355.6</v>
      </c>
      <c r="E221" s="3">
        <v>8397.82</v>
      </c>
      <c r="F221" s="3">
        <f ca="1" t="shared" si="6"/>
        <v>22753.42</v>
      </c>
      <c r="G221" s="3">
        <v>12152.9</v>
      </c>
      <c r="H221" s="3">
        <f ca="1" t="shared" si="7"/>
        <v>1.87226258753055</v>
      </c>
    </row>
    <row r="222" hidden="1" spans="1:8">
      <c r="A222" s="3">
        <f>VLOOKUP(B222,Sheet2!$A$1:$B$31,2,0)</f>
        <v>4</v>
      </c>
      <c r="B222" s="3" t="s">
        <v>11</v>
      </c>
      <c r="C222" s="3">
        <v>2007</v>
      </c>
      <c r="D222" s="3">
        <v>10041.8</v>
      </c>
      <c r="E222" s="3">
        <v>5394.47</v>
      </c>
      <c r="F222" s="3">
        <f ca="1" t="shared" si="6"/>
        <v>15436.27</v>
      </c>
      <c r="G222" s="3">
        <v>5935.58</v>
      </c>
      <c r="H222" s="3">
        <f ca="1" t="shared" si="7"/>
        <v>2.60063380495251</v>
      </c>
    </row>
    <row r="223" hidden="1" spans="1:8">
      <c r="A223" s="3">
        <f>VLOOKUP(B223,Sheet2!$A$1:$B$31,2,0)</f>
        <v>5</v>
      </c>
      <c r="B223" s="3" t="s">
        <v>12</v>
      </c>
      <c r="C223" s="3">
        <v>2007</v>
      </c>
      <c r="D223" s="3">
        <v>4953.7</v>
      </c>
      <c r="E223" s="3">
        <v>3767.74</v>
      </c>
      <c r="F223" s="3">
        <f ca="1" t="shared" si="6"/>
        <v>8721.44</v>
      </c>
      <c r="G223" s="3">
        <v>5166.93</v>
      </c>
      <c r="H223" s="3">
        <f ca="1" t="shared" si="7"/>
        <v>1.68793461494543</v>
      </c>
    </row>
    <row r="224" hidden="1" spans="1:8">
      <c r="A224" s="3">
        <f>VLOOKUP(B224,Sheet2!$A$1:$B$31,2,0)</f>
        <v>6</v>
      </c>
      <c r="B224" s="3" t="s">
        <v>13</v>
      </c>
      <c r="C224" s="3">
        <v>2007</v>
      </c>
      <c r="D224" s="3">
        <v>15117.8</v>
      </c>
      <c r="E224" s="3">
        <v>10403.9</v>
      </c>
      <c r="F224" s="3">
        <f ca="1" t="shared" si="6"/>
        <v>25521.7</v>
      </c>
      <c r="G224" s="3">
        <v>10292.2</v>
      </c>
      <c r="H224" s="3">
        <f ca="1" t="shared" si="7"/>
        <v>2.47971279221158</v>
      </c>
    </row>
    <row r="225" hidden="1" spans="1:8">
      <c r="A225" s="3">
        <f>VLOOKUP(B225,Sheet2!$A$1:$B$31,2,0)</f>
        <v>7</v>
      </c>
      <c r="B225" s="3" t="s">
        <v>14</v>
      </c>
      <c r="C225" s="3">
        <v>2007</v>
      </c>
      <c r="D225" s="3">
        <v>5318.59</v>
      </c>
      <c r="E225" s="3">
        <v>4306.01</v>
      </c>
      <c r="F225" s="3">
        <f ca="1" t="shared" si="6"/>
        <v>9624.6</v>
      </c>
      <c r="G225" s="3">
        <v>4080.34</v>
      </c>
      <c r="H225" s="3">
        <f ca="1" t="shared" si="7"/>
        <v>2.35877402373332</v>
      </c>
    </row>
    <row r="226" hidden="1" spans="1:8">
      <c r="A226" s="3">
        <f>VLOOKUP(B226,Sheet2!$A$1:$B$31,2,0)</f>
        <v>8</v>
      </c>
      <c r="B226" s="3" t="s">
        <v>15</v>
      </c>
      <c r="C226" s="3">
        <v>2007</v>
      </c>
      <c r="D226" s="3">
        <v>7559.7</v>
      </c>
      <c r="E226" s="3">
        <v>4256.4</v>
      </c>
      <c r="F226" s="3">
        <f ca="1" t="shared" si="6"/>
        <v>11816.1</v>
      </c>
      <c r="G226" s="3">
        <v>6126.3</v>
      </c>
      <c r="H226" s="3">
        <f ca="1" t="shared" si="7"/>
        <v>1.92874981636551</v>
      </c>
    </row>
    <row r="227" hidden="1" spans="1:8">
      <c r="A227" s="3">
        <f>VLOOKUP(B227,Sheet2!$A$1:$B$31,2,0)</f>
        <v>9</v>
      </c>
      <c r="B227" s="3" t="s">
        <v>16</v>
      </c>
      <c r="C227" s="3">
        <v>2007</v>
      </c>
      <c r="D227" s="3">
        <v>30315.5</v>
      </c>
      <c r="E227" s="3">
        <v>21709.9</v>
      </c>
      <c r="F227" s="3">
        <f ca="1" t="shared" si="6"/>
        <v>52025.4</v>
      </c>
      <c r="G227" s="3">
        <v>12878.7</v>
      </c>
      <c r="H227" s="3">
        <f ca="1" t="shared" si="7"/>
        <v>4.0396468587668</v>
      </c>
    </row>
    <row r="228" hidden="1" spans="1:8">
      <c r="A228" s="3">
        <f>VLOOKUP(B228,Sheet2!$A$1:$B$31,2,0)</f>
        <v>10</v>
      </c>
      <c r="B228" s="3" t="s">
        <v>17</v>
      </c>
      <c r="C228" s="3">
        <v>2007</v>
      </c>
      <c r="D228" s="3">
        <v>30450.5</v>
      </c>
      <c r="E228" s="3">
        <v>22092.1</v>
      </c>
      <c r="F228" s="3">
        <f ca="1" t="shared" si="6"/>
        <v>52542.6</v>
      </c>
      <c r="G228" s="3">
        <v>25988.4</v>
      </c>
      <c r="H228" s="3">
        <f ca="1" t="shared" si="7"/>
        <v>2.02177125178926</v>
      </c>
    </row>
    <row r="229" hidden="1" spans="1:8">
      <c r="A229" s="3">
        <f>VLOOKUP(B229,Sheet2!$A$1:$B$31,2,0)</f>
        <v>11</v>
      </c>
      <c r="B229" s="3" t="s">
        <v>18</v>
      </c>
      <c r="C229" s="3">
        <v>2007</v>
      </c>
      <c r="D229" s="3">
        <v>29030.3</v>
      </c>
      <c r="E229" s="3">
        <v>24939.9</v>
      </c>
      <c r="F229" s="3">
        <f ca="1" t="shared" si="6"/>
        <v>53970.2</v>
      </c>
      <c r="G229" s="3">
        <v>18639.9</v>
      </c>
      <c r="H229" s="3">
        <f ca="1" t="shared" si="7"/>
        <v>2.89541252903717</v>
      </c>
    </row>
    <row r="230" hidden="1" spans="1:8">
      <c r="A230" s="3">
        <f>VLOOKUP(B230,Sheet2!$A$1:$B$31,2,0)</f>
        <v>12</v>
      </c>
      <c r="B230" s="3" t="s">
        <v>19</v>
      </c>
      <c r="C230" s="3">
        <v>2007</v>
      </c>
      <c r="D230" s="3">
        <v>8485.85</v>
      </c>
      <c r="E230" s="3">
        <v>6127.89</v>
      </c>
      <c r="F230" s="3">
        <f ca="1" t="shared" si="6"/>
        <v>14613.74</v>
      </c>
      <c r="G230" s="3">
        <v>7941.61</v>
      </c>
      <c r="H230" s="3">
        <f ca="1" t="shared" si="7"/>
        <v>1.84014828227526</v>
      </c>
    </row>
    <row r="231" hidden="1" spans="1:8">
      <c r="A231" s="3">
        <f>VLOOKUP(B231,Sheet2!$A$1:$B$31,2,0)</f>
        <v>13</v>
      </c>
      <c r="B231" s="3" t="s">
        <v>20</v>
      </c>
      <c r="C231" s="3">
        <v>2007</v>
      </c>
      <c r="D231" s="3">
        <v>10040.2</v>
      </c>
      <c r="E231" s="3">
        <v>8065.67</v>
      </c>
      <c r="F231" s="3">
        <f ca="1" t="shared" si="6"/>
        <v>18105.87</v>
      </c>
      <c r="G231" s="3">
        <v>9325.62</v>
      </c>
      <c r="H231" s="3">
        <f ca="1" t="shared" si="7"/>
        <v>1.94151916977102</v>
      </c>
    </row>
    <row r="232" hidden="1" spans="1:8">
      <c r="A232" s="3">
        <f>VLOOKUP(B232,Sheet2!$A$1:$B$31,2,0)</f>
        <v>14</v>
      </c>
      <c r="B232" s="3" t="s">
        <v>21</v>
      </c>
      <c r="C232" s="3">
        <v>2007</v>
      </c>
      <c r="D232" s="3">
        <v>5900.06</v>
      </c>
      <c r="E232" s="3">
        <v>4026.74</v>
      </c>
      <c r="F232" s="3">
        <f ca="1" t="shared" si="6"/>
        <v>9926.8</v>
      </c>
      <c r="G232" s="3">
        <v>5777.62</v>
      </c>
      <c r="H232" s="3">
        <f ca="1" t="shared" si="7"/>
        <v>1.71814691862739</v>
      </c>
    </row>
    <row r="233" hidden="1" spans="1:8">
      <c r="A233" s="3">
        <f>VLOOKUP(B233,Sheet2!$A$1:$B$31,2,0)</f>
        <v>15</v>
      </c>
      <c r="B233" s="3" t="s">
        <v>22</v>
      </c>
      <c r="C233" s="3">
        <v>2007</v>
      </c>
      <c r="D233" s="3">
        <v>22072.2</v>
      </c>
      <c r="E233" s="3">
        <v>17545.1</v>
      </c>
      <c r="F233" s="3">
        <f ca="1" t="shared" si="6"/>
        <v>39617.3</v>
      </c>
      <c r="G233" s="3">
        <v>22718.1</v>
      </c>
      <c r="H233" s="3">
        <f ca="1" t="shared" si="7"/>
        <v>1.74386502392366</v>
      </c>
    </row>
    <row r="234" hidden="1" spans="1:8">
      <c r="A234" s="3">
        <f>VLOOKUP(B234,Sheet2!$A$1:$B$31,2,0)</f>
        <v>16</v>
      </c>
      <c r="B234" s="3" t="s">
        <v>23</v>
      </c>
      <c r="C234" s="3">
        <v>2007</v>
      </c>
      <c r="D234" s="3">
        <v>12576.4</v>
      </c>
      <c r="E234" s="3">
        <v>9545.48</v>
      </c>
      <c r="F234" s="3">
        <f ca="1" t="shared" si="6"/>
        <v>22121.88</v>
      </c>
      <c r="G234" s="3">
        <v>14824.5</v>
      </c>
      <c r="H234" s="3">
        <f ca="1" t="shared" si="7"/>
        <v>1.49225134068603</v>
      </c>
    </row>
    <row r="235" hidden="1" spans="1:8">
      <c r="A235" s="3">
        <f>VLOOKUP(B235,Sheet2!$A$1:$B$31,2,0)</f>
        <v>17</v>
      </c>
      <c r="B235" s="3" t="s">
        <v>24</v>
      </c>
      <c r="C235" s="3">
        <v>2007</v>
      </c>
      <c r="D235" s="3">
        <v>11093</v>
      </c>
      <c r="E235" s="3">
        <v>7496.46</v>
      </c>
      <c r="F235" s="3">
        <f ca="1" t="shared" si="6"/>
        <v>18589.46</v>
      </c>
      <c r="G235" s="3">
        <v>9451.39</v>
      </c>
      <c r="H235" s="3">
        <f ca="1" t="shared" si="7"/>
        <v>1.96684932057613</v>
      </c>
    </row>
    <row r="236" hidden="1" spans="1:8">
      <c r="A236" s="3">
        <f>VLOOKUP(B236,Sheet2!$A$1:$B$31,2,0)</f>
        <v>18</v>
      </c>
      <c r="B236" s="3" t="s">
        <v>25</v>
      </c>
      <c r="C236" s="3">
        <v>2007</v>
      </c>
      <c r="D236" s="3">
        <v>9083.27</v>
      </c>
      <c r="E236" s="3">
        <v>6157.51</v>
      </c>
      <c r="F236" s="3">
        <f ca="1" t="shared" si="6"/>
        <v>15240.78</v>
      </c>
      <c r="G236" s="3">
        <v>9285.45</v>
      </c>
      <c r="H236" s="3">
        <f ca="1" t="shared" si="7"/>
        <v>1.6413614849038</v>
      </c>
    </row>
    <row r="237" hidden="1" spans="1:8">
      <c r="A237" s="3">
        <f>VLOOKUP(B237,Sheet2!$A$1:$B$31,2,0)</f>
        <v>19</v>
      </c>
      <c r="B237" s="3" t="s">
        <v>26</v>
      </c>
      <c r="C237" s="3">
        <v>2007</v>
      </c>
      <c r="D237" s="3">
        <v>48955</v>
      </c>
      <c r="E237" s="3">
        <v>47016.5</v>
      </c>
      <c r="F237" s="3">
        <f ca="1" t="shared" si="6"/>
        <v>95971.5</v>
      </c>
      <c r="G237" s="3">
        <v>31742.6</v>
      </c>
      <c r="H237" s="3">
        <f ca="1" t="shared" si="7"/>
        <v>3.02342908268384</v>
      </c>
    </row>
    <row r="238" hidden="1" spans="1:8">
      <c r="A238" s="3">
        <f>VLOOKUP(B238,Sheet2!$A$1:$B$31,2,0)</f>
        <v>20</v>
      </c>
      <c r="B238" s="3" t="s">
        <v>27</v>
      </c>
      <c r="C238" s="3">
        <v>2007</v>
      </c>
      <c r="D238" s="3">
        <v>5801.04</v>
      </c>
      <c r="E238" s="3">
        <v>4331.03</v>
      </c>
      <c r="F238" s="3">
        <f ca="1" t="shared" si="6"/>
        <v>10132.07</v>
      </c>
      <c r="G238" s="3">
        <v>5474.79</v>
      </c>
      <c r="H238" s="3">
        <f ca="1" t="shared" si="7"/>
        <v>1.85067737757978</v>
      </c>
    </row>
    <row r="239" hidden="1" spans="1:8">
      <c r="A239" s="3">
        <f>VLOOKUP(B239,Sheet2!$A$1:$B$31,2,0)</f>
        <v>21</v>
      </c>
      <c r="B239" s="3" t="s">
        <v>28</v>
      </c>
      <c r="C239" s="3">
        <v>2007</v>
      </c>
      <c r="D239" s="3">
        <v>1873</v>
      </c>
      <c r="E239" s="3">
        <v>1228.04</v>
      </c>
      <c r="F239" s="3">
        <f ca="1" t="shared" si="6"/>
        <v>3101.04</v>
      </c>
      <c r="G239" s="3">
        <v>1234</v>
      </c>
      <c r="H239" s="3">
        <f ca="1" t="shared" si="7"/>
        <v>2.51299837925446</v>
      </c>
    </row>
    <row r="240" hidden="1" spans="1:12">
      <c r="A240" s="3">
        <f>VLOOKUP(B240,Sheet2!$A$1:$B$31,2,0)</f>
        <v>22</v>
      </c>
      <c r="B240" s="3" t="s">
        <v>29</v>
      </c>
      <c r="C240" s="3">
        <v>2007</v>
      </c>
      <c r="D240" s="3">
        <v>6662.36</v>
      </c>
      <c r="E240" s="3">
        <v>5197.08</v>
      </c>
      <c r="F240" s="3">
        <f ca="1" t="shared" si="6"/>
        <v>11859.44</v>
      </c>
      <c r="G240" s="3">
        <v>4770.72</v>
      </c>
      <c r="H240" s="3">
        <f ca="1" t="shared" si="7"/>
        <v>2.48588053794815</v>
      </c>
      <c r="K240" s="5"/>
      <c r="L240" s="6"/>
    </row>
    <row r="241" hidden="1" spans="1:8">
      <c r="A241" s="3">
        <f>VLOOKUP(B241,Sheet2!$A$1:$B$31,2,0)</f>
        <v>23</v>
      </c>
      <c r="B241" s="3" t="s">
        <v>30</v>
      </c>
      <c r="C241" s="3">
        <v>2007</v>
      </c>
      <c r="D241" s="3">
        <v>13980.4</v>
      </c>
      <c r="E241" s="3">
        <v>12620.9</v>
      </c>
      <c r="F241" s="3">
        <f ca="1" t="shared" si="6"/>
        <v>26601.3</v>
      </c>
      <c r="G241" s="3">
        <v>10562.1</v>
      </c>
      <c r="H241" s="3">
        <f ca="1" t="shared" si="7"/>
        <v>2.51856164967194</v>
      </c>
    </row>
    <row r="242" hidden="1" spans="1:8">
      <c r="A242" s="3">
        <f>VLOOKUP(B242,Sheet2!$A$1:$B$31,2,0)</f>
        <v>24</v>
      </c>
      <c r="B242" s="3" t="s">
        <v>31</v>
      </c>
      <c r="C242" s="3">
        <v>2007</v>
      </c>
      <c r="D242" s="3">
        <v>3826.37</v>
      </c>
      <c r="E242" s="3">
        <v>3128.63</v>
      </c>
      <c r="F242" s="3">
        <f ca="1" t="shared" si="6"/>
        <v>6955</v>
      </c>
      <c r="G242" s="3">
        <v>2847.46</v>
      </c>
      <c r="H242" s="3">
        <f ca="1" t="shared" si="7"/>
        <v>2.44252772646499</v>
      </c>
    </row>
    <row r="243" hidden="1" spans="1:8">
      <c r="A243" s="3">
        <f>VLOOKUP(B243,Sheet2!$A$1:$B$31,2,0)</f>
        <v>25</v>
      </c>
      <c r="B243" s="3" t="s">
        <v>32</v>
      </c>
      <c r="C243" s="3">
        <v>2007</v>
      </c>
      <c r="D243" s="3">
        <v>7170.87</v>
      </c>
      <c r="E243" s="3">
        <v>5671.66</v>
      </c>
      <c r="F243" s="3">
        <f ca="1" t="shared" si="6"/>
        <v>12842.53</v>
      </c>
      <c r="G243" s="3">
        <v>5077.35</v>
      </c>
      <c r="H243" s="3">
        <f ca="1" t="shared" si="7"/>
        <v>2.52937654485115</v>
      </c>
    </row>
    <row r="244" hidden="1" spans="1:8">
      <c r="A244" s="3">
        <f>VLOOKUP(B244,Sheet2!$A$1:$B$31,2,0)</f>
        <v>26</v>
      </c>
      <c r="B244" s="3" t="s">
        <v>33</v>
      </c>
      <c r="C244" s="3">
        <v>2007</v>
      </c>
      <c r="D244" s="3">
        <v>642.44</v>
      </c>
      <c r="E244" s="3">
        <v>223.47</v>
      </c>
      <c r="F244" s="3">
        <f ca="1" t="shared" si="6"/>
        <v>865.91</v>
      </c>
      <c r="G244" s="3">
        <v>344.1</v>
      </c>
      <c r="H244" s="3">
        <f ca="1" t="shared" si="7"/>
        <v>2.51644870677129</v>
      </c>
    </row>
    <row r="245" hidden="1" spans="1:8">
      <c r="A245" s="3">
        <f>VLOOKUP(B245,Sheet2!$A$1:$B$31,2,0)</f>
        <v>27</v>
      </c>
      <c r="B245" s="3" t="s">
        <v>34</v>
      </c>
      <c r="C245" s="3">
        <v>2007</v>
      </c>
      <c r="D245" s="3">
        <v>8501.39</v>
      </c>
      <c r="E245" s="3">
        <v>5121.16</v>
      </c>
      <c r="F245" s="3">
        <f ca="1" t="shared" si="6"/>
        <v>13622.55</v>
      </c>
      <c r="G245" s="3">
        <v>5681.78</v>
      </c>
      <c r="H245" s="3">
        <f ca="1" t="shared" si="7"/>
        <v>2.39758491177061</v>
      </c>
    </row>
    <row r="246" hidden="1" spans="1:8">
      <c r="A246" s="3">
        <f>VLOOKUP(B246,Sheet2!$A$1:$B$31,2,0)</f>
        <v>28</v>
      </c>
      <c r="B246" s="3" t="s">
        <v>35</v>
      </c>
      <c r="C246" s="3">
        <v>2007</v>
      </c>
      <c r="D246" s="3">
        <v>3747.11</v>
      </c>
      <c r="E246" s="3">
        <v>2403.63</v>
      </c>
      <c r="F246" s="3">
        <f ca="1" t="shared" si="6"/>
        <v>6150.74</v>
      </c>
      <c r="G246" s="3">
        <v>2675.12</v>
      </c>
      <c r="H246" s="3">
        <f ca="1" t="shared" si="7"/>
        <v>2.29923891264691</v>
      </c>
    </row>
    <row r="247" hidden="1" spans="1:8">
      <c r="A247" s="3">
        <f>VLOOKUP(B247,Sheet2!$A$1:$B$31,2,0)</f>
        <v>29</v>
      </c>
      <c r="B247" s="3" t="s">
        <v>36</v>
      </c>
      <c r="C247" s="3">
        <v>2007</v>
      </c>
      <c r="D247" s="3">
        <v>1092.65</v>
      </c>
      <c r="E247" s="3">
        <v>873.15</v>
      </c>
      <c r="F247" s="3">
        <f ca="1" t="shared" si="6"/>
        <v>1965.8</v>
      </c>
      <c r="G247" s="3">
        <v>720.06</v>
      </c>
      <c r="H247" s="3">
        <f ca="1" t="shared" si="7"/>
        <v>2.73005027358831</v>
      </c>
    </row>
    <row r="248" hidden="1" spans="1:8">
      <c r="A248" s="3">
        <f>VLOOKUP(B248,Sheet2!$A$1:$B$31,2,0)</f>
        <v>30</v>
      </c>
      <c r="B248" s="3" t="s">
        <v>37</v>
      </c>
      <c r="C248" s="3">
        <v>2007</v>
      </c>
      <c r="D248" s="3">
        <v>1278.52</v>
      </c>
      <c r="E248" s="3">
        <v>1184.57</v>
      </c>
      <c r="F248" s="3">
        <f ca="1" t="shared" si="6"/>
        <v>2463.09</v>
      </c>
      <c r="G248" s="3">
        <v>877.6</v>
      </c>
      <c r="H248" s="3">
        <f ca="1" t="shared" si="7"/>
        <v>2.80662032816773</v>
      </c>
    </row>
    <row r="249" hidden="1" spans="1:8">
      <c r="A249" s="3">
        <f>VLOOKUP(B249,Sheet2!$A$1:$B$31,2,0)</f>
        <v>31</v>
      </c>
      <c r="B249" s="3" t="s">
        <v>38</v>
      </c>
      <c r="C249" s="3">
        <v>2007</v>
      </c>
      <c r="D249" s="3">
        <v>4614.62</v>
      </c>
      <c r="E249" s="3">
        <v>2685</v>
      </c>
      <c r="F249" s="3">
        <f ca="1" t="shared" si="6"/>
        <v>7299.62</v>
      </c>
      <c r="G249" s="3">
        <v>3500</v>
      </c>
      <c r="H249" s="3">
        <f ca="1" t="shared" si="7"/>
        <v>2.08560571428571</v>
      </c>
    </row>
    <row r="250" hidden="1" spans="1:8">
      <c r="A250" s="3">
        <f>VLOOKUP(B250,Sheet2!$A$1:$B$31,2,0)</f>
        <v>1</v>
      </c>
      <c r="B250" s="3" t="s">
        <v>8</v>
      </c>
      <c r="C250" s="3">
        <v>2008</v>
      </c>
      <c r="D250" s="3">
        <v>43980.7</v>
      </c>
      <c r="E250" s="3">
        <v>23010.7</v>
      </c>
      <c r="F250" s="3">
        <f ca="1" t="shared" si="6"/>
        <v>66991.4</v>
      </c>
      <c r="G250" s="3">
        <v>11813.1</v>
      </c>
      <c r="H250" s="3">
        <f ca="1" t="shared" si="7"/>
        <v>5.67094158180325</v>
      </c>
    </row>
    <row r="251" hidden="1" spans="1:8">
      <c r="A251" s="3">
        <f>VLOOKUP(B251,Sheet2!$A$1:$B$31,2,0)</f>
        <v>2</v>
      </c>
      <c r="B251" s="3" t="s">
        <v>9</v>
      </c>
      <c r="C251" s="3">
        <v>2008</v>
      </c>
      <c r="D251" s="3">
        <v>9954.16</v>
      </c>
      <c r="E251" s="3">
        <v>7689.12</v>
      </c>
      <c r="F251" s="3">
        <f ca="1" t="shared" si="6"/>
        <v>17643.28</v>
      </c>
      <c r="G251" s="3">
        <v>5182.4</v>
      </c>
      <c r="H251" s="3">
        <f ca="1" t="shared" si="7"/>
        <v>3.40446125347329</v>
      </c>
    </row>
    <row r="252" spans="1:8">
      <c r="A252" s="3">
        <f>VLOOKUP(B252,Sheet2!$A$1:$B$31,2,0)</f>
        <v>3</v>
      </c>
      <c r="B252" s="3" t="s">
        <v>10</v>
      </c>
      <c r="C252" s="3">
        <v>2008</v>
      </c>
      <c r="D252" s="3">
        <v>17709</v>
      </c>
      <c r="E252" s="3">
        <v>9453.3</v>
      </c>
      <c r="F252" s="3">
        <f ca="1" t="shared" si="6"/>
        <v>27162.3</v>
      </c>
      <c r="G252" s="3">
        <v>14200.1</v>
      </c>
      <c r="H252" s="3">
        <f ca="1" t="shared" si="7"/>
        <v>1.91282455757354</v>
      </c>
    </row>
    <row r="253" hidden="1" spans="1:8">
      <c r="A253" s="3">
        <f>VLOOKUP(B253,Sheet2!$A$1:$B$31,2,0)</f>
        <v>4</v>
      </c>
      <c r="B253" s="3" t="s">
        <v>11</v>
      </c>
      <c r="C253" s="3">
        <v>2008</v>
      </c>
      <c r="D253" s="3">
        <v>12766.7</v>
      </c>
      <c r="E253" s="3">
        <v>5960.33</v>
      </c>
      <c r="F253" s="3">
        <f ca="1" t="shared" si="6"/>
        <v>18727.03</v>
      </c>
      <c r="G253" s="3">
        <v>7222.98</v>
      </c>
      <c r="H253" s="3">
        <f ca="1" t="shared" si="7"/>
        <v>2.59270135041216</v>
      </c>
    </row>
    <row r="254" hidden="1" spans="1:8">
      <c r="A254" s="3">
        <f>VLOOKUP(B254,Sheet2!$A$1:$B$31,2,0)</f>
        <v>5</v>
      </c>
      <c r="B254" s="3" t="s">
        <v>12</v>
      </c>
      <c r="C254" s="3">
        <v>2008</v>
      </c>
      <c r="D254" s="3">
        <v>6341.03</v>
      </c>
      <c r="E254" s="3">
        <v>4527.86</v>
      </c>
      <c r="F254" s="3">
        <f ca="1" t="shared" si="6"/>
        <v>10868.89</v>
      </c>
      <c r="G254" s="3">
        <v>6242.41</v>
      </c>
      <c r="H254" s="3">
        <f ca="1" t="shared" si="7"/>
        <v>1.74113683657434</v>
      </c>
    </row>
    <row r="255" hidden="1" spans="1:8">
      <c r="A255" s="3">
        <f>VLOOKUP(B255,Sheet2!$A$1:$B$31,2,0)</f>
        <v>6</v>
      </c>
      <c r="B255" s="3" t="s">
        <v>13</v>
      </c>
      <c r="C255" s="3">
        <v>2008</v>
      </c>
      <c r="D255" s="3">
        <v>18223.2</v>
      </c>
      <c r="E255" s="3">
        <v>11794.6</v>
      </c>
      <c r="F255" s="3">
        <f ca="1" t="shared" si="6"/>
        <v>30017.8</v>
      </c>
      <c r="G255" s="3">
        <v>12137.7</v>
      </c>
      <c r="H255" s="3">
        <f ca="1" t="shared" si="7"/>
        <v>2.47310445965875</v>
      </c>
    </row>
    <row r="256" hidden="1" spans="1:8">
      <c r="A256" s="3">
        <f>VLOOKUP(B256,Sheet2!$A$1:$B$31,2,0)</f>
        <v>7</v>
      </c>
      <c r="B256" s="3" t="s">
        <v>14</v>
      </c>
      <c r="C256" s="3">
        <v>2008</v>
      </c>
      <c r="D256" s="3">
        <v>6362.48</v>
      </c>
      <c r="E256" s="3">
        <v>4835.89</v>
      </c>
      <c r="F256" s="3">
        <f ca="1" t="shared" si="6"/>
        <v>11198.37</v>
      </c>
      <c r="G256" s="3">
        <v>4834.68</v>
      </c>
      <c r="H256" s="3">
        <f ca="1" t="shared" si="7"/>
        <v>2.31625878031224</v>
      </c>
    </row>
    <row r="257" hidden="1" spans="1:8">
      <c r="A257" s="3">
        <f>VLOOKUP(B257,Sheet2!$A$1:$B$31,2,0)</f>
        <v>8</v>
      </c>
      <c r="B257" s="3" t="s">
        <v>15</v>
      </c>
      <c r="C257" s="3">
        <v>2008</v>
      </c>
      <c r="D257" s="3">
        <v>8993.8</v>
      </c>
      <c r="E257" s="3">
        <v>4532.7</v>
      </c>
      <c r="F257" s="3">
        <f ca="1" t="shared" si="6"/>
        <v>13526.5</v>
      </c>
      <c r="G257" s="3">
        <v>7134.2</v>
      </c>
      <c r="H257" s="3">
        <f ca="1" t="shared" si="7"/>
        <v>1.89600796164952</v>
      </c>
    </row>
    <row r="258" hidden="1" spans="1:8">
      <c r="A258" s="3">
        <f>VLOOKUP(B258,Sheet2!$A$1:$B$31,2,0)</f>
        <v>9</v>
      </c>
      <c r="B258" s="3" t="s">
        <v>16</v>
      </c>
      <c r="C258" s="3">
        <v>2008</v>
      </c>
      <c r="D258" s="3">
        <v>35589.1</v>
      </c>
      <c r="E258" s="3">
        <v>24166.1</v>
      </c>
      <c r="F258" s="3">
        <f ca="1" t="shared" ref="F258:F321" si="8">D258+E258</f>
        <v>59755.2</v>
      </c>
      <c r="G258" s="3">
        <v>14536.9</v>
      </c>
      <c r="H258" s="3">
        <f ca="1" t="shared" ref="H258:H321" si="9">F258/G258</f>
        <v>4.11058753929655</v>
      </c>
    </row>
    <row r="259" hidden="1" spans="1:8">
      <c r="A259" s="3">
        <f>VLOOKUP(B259,Sheet2!$A$1:$B$31,2,0)</f>
        <v>10</v>
      </c>
      <c r="B259" s="3" t="s">
        <v>17</v>
      </c>
      <c r="C259" s="3">
        <v>2008</v>
      </c>
      <c r="D259" s="3">
        <v>37017.5</v>
      </c>
      <c r="E259" s="3">
        <v>26160.7</v>
      </c>
      <c r="F259" s="3">
        <f ca="1" t="shared" si="8"/>
        <v>63178.2</v>
      </c>
      <c r="G259" s="3">
        <v>30945.4</v>
      </c>
      <c r="H259" s="3">
        <f ca="1" t="shared" si="9"/>
        <v>2.04160230599701</v>
      </c>
    </row>
    <row r="260" hidden="1" spans="1:8">
      <c r="A260" s="3">
        <f>VLOOKUP(B260,Sheet2!$A$1:$B$31,2,0)</f>
        <v>11</v>
      </c>
      <c r="B260" s="3" t="s">
        <v>18</v>
      </c>
      <c r="C260" s="3">
        <v>2008</v>
      </c>
      <c r="D260" s="3">
        <v>35481.2</v>
      </c>
      <c r="E260" s="3">
        <v>29649.2</v>
      </c>
      <c r="F260" s="3">
        <f ca="1" t="shared" si="8"/>
        <v>65130.4</v>
      </c>
      <c r="G260" s="3">
        <v>21284.6</v>
      </c>
      <c r="H260" s="3">
        <f ca="1" t="shared" si="9"/>
        <v>3.05997763641318</v>
      </c>
    </row>
    <row r="261" hidden="1" spans="1:8">
      <c r="A261" s="3">
        <f>VLOOKUP(B261,Sheet2!$A$1:$B$31,2,0)</f>
        <v>12</v>
      </c>
      <c r="B261" s="3" t="s">
        <v>19</v>
      </c>
      <c r="C261" s="3">
        <v>2008</v>
      </c>
      <c r="D261" s="3">
        <v>10387</v>
      </c>
      <c r="E261" s="3">
        <v>7030.27</v>
      </c>
      <c r="F261" s="3">
        <f ca="1" t="shared" si="8"/>
        <v>17417.27</v>
      </c>
      <c r="G261" s="3">
        <v>9517.68</v>
      </c>
      <c r="H261" s="3">
        <f ca="1" t="shared" si="9"/>
        <v>1.82999113229274</v>
      </c>
    </row>
    <row r="262" hidden="1" spans="1:8">
      <c r="A262" s="3">
        <f>VLOOKUP(B262,Sheet2!$A$1:$B$31,2,0)</f>
        <v>13</v>
      </c>
      <c r="B262" s="3" t="s">
        <v>20</v>
      </c>
      <c r="C262" s="3">
        <v>2008</v>
      </c>
      <c r="D262" s="3">
        <v>11804.4</v>
      </c>
      <c r="E262" s="3">
        <v>9585.92</v>
      </c>
      <c r="F262" s="3">
        <f ca="1" t="shared" si="8"/>
        <v>21390.32</v>
      </c>
      <c r="G262" s="3">
        <v>10931.8</v>
      </c>
      <c r="H262" s="3">
        <f ca="1" t="shared" si="9"/>
        <v>1.95670612341975</v>
      </c>
    </row>
    <row r="263" hidden="1" spans="1:8">
      <c r="A263" s="3">
        <f>VLOOKUP(B263,Sheet2!$A$1:$B$31,2,0)</f>
        <v>14</v>
      </c>
      <c r="B263" s="3" t="s">
        <v>21</v>
      </c>
      <c r="C263" s="3">
        <v>2008</v>
      </c>
      <c r="D263" s="3">
        <v>7206.56</v>
      </c>
      <c r="E263" s="3">
        <v>4544.84</v>
      </c>
      <c r="F263" s="3">
        <f ca="1" t="shared" si="8"/>
        <v>11751.4</v>
      </c>
      <c r="G263" s="3">
        <v>6934.2</v>
      </c>
      <c r="H263" s="3">
        <f ca="1" t="shared" si="9"/>
        <v>1.69470162383548</v>
      </c>
    </row>
    <row r="264" hidden="1" spans="1:8">
      <c r="A264" s="3">
        <f>VLOOKUP(B264,Sheet2!$A$1:$B$31,2,0)</f>
        <v>15</v>
      </c>
      <c r="B264" s="3" t="s">
        <v>22</v>
      </c>
      <c r="C264" s="3">
        <v>2008</v>
      </c>
      <c r="D264" s="3">
        <v>26930.2</v>
      </c>
      <c r="E264" s="3">
        <v>20053.9</v>
      </c>
      <c r="F264" s="3">
        <f ca="1" t="shared" si="8"/>
        <v>46984.1</v>
      </c>
      <c r="G264" s="3">
        <v>27106.2</v>
      </c>
      <c r="H264" s="3">
        <f ca="1" t="shared" si="9"/>
        <v>1.73333407117191</v>
      </c>
    </row>
    <row r="265" hidden="1" spans="1:8">
      <c r="A265" s="3">
        <f>VLOOKUP(B265,Sheet2!$A$1:$B$31,2,0)</f>
        <v>16</v>
      </c>
      <c r="B265" s="3" t="s">
        <v>23</v>
      </c>
      <c r="C265" s="3">
        <v>2008</v>
      </c>
      <c r="D265" s="3">
        <v>15255.4</v>
      </c>
      <c r="E265" s="3">
        <v>10368</v>
      </c>
      <c r="F265" s="3">
        <f ca="1" t="shared" si="8"/>
        <v>25623.4</v>
      </c>
      <c r="G265" s="3">
        <v>17735.9</v>
      </c>
      <c r="H265" s="3">
        <f ca="1" t="shared" si="9"/>
        <v>1.44471946729515</v>
      </c>
    </row>
    <row r="266" hidden="1" spans="1:8">
      <c r="A266" s="3">
        <f>VLOOKUP(B266,Sheet2!$A$1:$B$31,2,0)</f>
        <v>17</v>
      </c>
      <c r="B266" s="3" t="s">
        <v>24</v>
      </c>
      <c r="C266" s="3">
        <v>2008</v>
      </c>
      <c r="D266" s="3">
        <v>13439.5</v>
      </c>
      <c r="E266" s="3">
        <v>8465.64</v>
      </c>
      <c r="F266" s="3">
        <f ca="1" t="shared" si="8"/>
        <v>21905.14</v>
      </c>
      <c r="G266" s="3">
        <v>11497.5</v>
      </c>
      <c r="H266" s="3">
        <f ca="1" t="shared" si="9"/>
        <v>1.90520895846923</v>
      </c>
    </row>
    <row r="267" hidden="1" spans="1:8">
      <c r="A267" s="3">
        <f>VLOOKUP(B267,Sheet2!$A$1:$B$31,2,0)</f>
        <v>18</v>
      </c>
      <c r="B267" s="3" t="s">
        <v>25</v>
      </c>
      <c r="C267" s="3">
        <v>2008</v>
      </c>
      <c r="D267" s="3">
        <v>10895.5</v>
      </c>
      <c r="E267" s="3">
        <v>6989.42</v>
      </c>
      <c r="F267" s="3">
        <f ca="1" t="shared" si="8"/>
        <v>17884.92</v>
      </c>
      <c r="G267" s="3">
        <v>11307.4</v>
      </c>
      <c r="H267" s="3">
        <f ca="1" t="shared" si="9"/>
        <v>1.58170047933212</v>
      </c>
    </row>
    <row r="268" hidden="1" spans="1:8">
      <c r="A268" s="3">
        <f>VLOOKUP(B268,Sheet2!$A$1:$B$31,2,0)</f>
        <v>19</v>
      </c>
      <c r="B268" s="3" t="s">
        <v>26</v>
      </c>
      <c r="C268" s="3">
        <v>2008</v>
      </c>
      <c r="D268" s="3">
        <v>56119.3</v>
      </c>
      <c r="E268" s="3">
        <v>54309.6</v>
      </c>
      <c r="F268" s="3">
        <f ca="1" t="shared" si="8"/>
        <v>110428.9</v>
      </c>
      <c r="G268" s="3">
        <v>36704.2</v>
      </c>
      <c r="H268" s="3">
        <f ca="1" t="shared" si="9"/>
        <v>3.00861754240659</v>
      </c>
    </row>
    <row r="269" hidden="1" spans="1:8">
      <c r="A269" s="3">
        <f>VLOOKUP(B269,Sheet2!$A$1:$B$31,2,0)</f>
        <v>20</v>
      </c>
      <c r="B269" s="3" t="s">
        <v>27</v>
      </c>
      <c r="C269" s="3">
        <v>2008</v>
      </c>
      <c r="D269" s="3">
        <v>7075.02</v>
      </c>
      <c r="E269" s="3">
        <v>5110.06</v>
      </c>
      <c r="F269" s="3">
        <f ca="1" t="shared" si="8"/>
        <v>12185.08</v>
      </c>
      <c r="G269" s="3">
        <v>6455.43</v>
      </c>
      <c r="H269" s="3">
        <f ca="1" t="shared" si="9"/>
        <v>1.88757061884336</v>
      </c>
    </row>
    <row r="270" hidden="1" spans="1:8">
      <c r="A270" s="3">
        <f>VLOOKUP(B270,Sheet2!$A$1:$B$31,2,0)</f>
        <v>21</v>
      </c>
      <c r="B270" s="3" t="s">
        <v>28</v>
      </c>
      <c r="C270" s="3">
        <v>2008</v>
      </c>
      <c r="D270" s="3">
        <v>2350.86</v>
      </c>
      <c r="E270" s="3">
        <v>1383.39</v>
      </c>
      <c r="F270" s="3">
        <f ca="1" t="shared" si="8"/>
        <v>3734.25</v>
      </c>
      <c r="G270" s="3">
        <v>1474.66</v>
      </c>
      <c r="H270" s="3">
        <f ca="1" t="shared" si="9"/>
        <v>2.53227862693773</v>
      </c>
    </row>
    <row r="271" hidden="1" spans="1:8">
      <c r="A271" s="3">
        <f>VLOOKUP(B271,Sheet2!$A$1:$B$31,2,0)</f>
        <v>22</v>
      </c>
      <c r="B271" s="3" t="s">
        <v>29</v>
      </c>
      <c r="C271" s="3">
        <v>2008</v>
      </c>
      <c r="D271" s="3">
        <v>8102</v>
      </c>
      <c r="E271" s="3">
        <v>6384.03</v>
      </c>
      <c r="F271" s="3">
        <f ca="1" t="shared" si="8"/>
        <v>14486.03</v>
      </c>
      <c r="G271" s="3">
        <v>5899.49</v>
      </c>
      <c r="H271" s="3">
        <f ca="1" t="shared" si="9"/>
        <v>2.45547157466154</v>
      </c>
    </row>
    <row r="272" hidden="1" spans="1:8">
      <c r="A272" s="3">
        <f>VLOOKUP(B272,Sheet2!$A$1:$B$31,2,0)</f>
        <v>23</v>
      </c>
      <c r="B272" s="3" t="s">
        <v>30</v>
      </c>
      <c r="C272" s="3">
        <v>2008</v>
      </c>
      <c r="D272" s="3">
        <v>18661</v>
      </c>
      <c r="E272" s="3">
        <v>16880.4</v>
      </c>
      <c r="F272" s="3">
        <f ca="1" t="shared" si="8"/>
        <v>35541.4</v>
      </c>
      <c r="G272" s="3">
        <v>12756.2</v>
      </c>
      <c r="H272" s="3">
        <f ca="1" t="shared" si="9"/>
        <v>2.78620592339411</v>
      </c>
    </row>
    <row r="273" hidden="1" spans="1:8">
      <c r="A273" s="3">
        <f>VLOOKUP(B273,Sheet2!$A$1:$B$31,2,0)</f>
        <v>24</v>
      </c>
      <c r="B273" s="3" t="s">
        <v>31</v>
      </c>
      <c r="C273" s="3">
        <v>2008</v>
      </c>
      <c r="D273" s="3">
        <v>4736.93</v>
      </c>
      <c r="E273" s="3">
        <v>3569.27</v>
      </c>
      <c r="F273" s="3">
        <f ca="1" t="shared" si="8"/>
        <v>8306.2</v>
      </c>
      <c r="G273" s="3">
        <v>3504.48</v>
      </c>
      <c r="H273" s="3">
        <f ca="1" t="shared" si="9"/>
        <v>2.37016618728028</v>
      </c>
    </row>
    <row r="274" hidden="1" spans="1:8">
      <c r="A274" s="3">
        <f>VLOOKUP(B274,Sheet2!$A$1:$B$31,2,0)</f>
        <v>25</v>
      </c>
      <c r="B274" s="3" t="s">
        <v>32</v>
      </c>
      <c r="C274" s="3">
        <v>2008</v>
      </c>
      <c r="D274" s="3">
        <v>8418.94</v>
      </c>
      <c r="E274" s="3">
        <v>6594.33</v>
      </c>
      <c r="F274" s="3">
        <f ca="1" t="shared" si="8"/>
        <v>15013.27</v>
      </c>
      <c r="G274" s="3">
        <v>6016.59</v>
      </c>
      <c r="H274" s="3">
        <f ca="1" t="shared" si="9"/>
        <v>2.495312128631</v>
      </c>
    </row>
    <row r="275" hidden="1" spans="1:8">
      <c r="A275" s="3">
        <f>VLOOKUP(B275,Sheet2!$A$1:$B$31,2,0)</f>
        <v>26</v>
      </c>
      <c r="B275" s="3" t="s">
        <v>33</v>
      </c>
      <c r="C275" s="3">
        <v>2008</v>
      </c>
      <c r="D275" s="3">
        <v>827.85</v>
      </c>
      <c r="E275" s="3">
        <v>218.98</v>
      </c>
      <c r="F275" s="3">
        <f ca="1" t="shared" si="8"/>
        <v>1046.83</v>
      </c>
      <c r="G275" s="3">
        <v>398.19</v>
      </c>
      <c r="H275" s="3">
        <f ca="1" t="shared" si="9"/>
        <v>2.62897109420126</v>
      </c>
    </row>
    <row r="276" hidden="1" spans="1:8">
      <c r="A276" s="3">
        <f>VLOOKUP(B276,Sheet2!$A$1:$B$31,2,0)</f>
        <v>27</v>
      </c>
      <c r="B276" s="3" t="s">
        <v>34</v>
      </c>
      <c r="C276" s="3">
        <v>2008</v>
      </c>
      <c r="D276" s="3">
        <v>10790.9</v>
      </c>
      <c r="E276" s="3">
        <v>6056.82</v>
      </c>
      <c r="F276" s="3">
        <f ca="1" t="shared" si="8"/>
        <v>16847.72</v>
      </c>
      <c r="G276" s="3">
        <v>7177.78</v>
      </c>
      <c r="H276" s="3">
        <f ca="1" t="shared" si="9"/>
        <v>2.34720484606661</v>
      </c>
    </row>
    <row r="277" hidden="1" spans="1:8">
      <c r="A277" s="3">
        <f>VLOOKUP(B277,Sheet2!$A$1:$B$31,2,0)</f>
        <v>28</v>
      </c>
      <c r="B277" s="3" t="s">
        <v>35</v>
      </c>
      <c r="C277" s="3">
        <v>2008</v>
      </c>
      <c r="D277" s="3">
        <v>4728.82</v>
      </c>
      <c r="E277" s="3">
        <v>2731.89</v>
      </c>
      <c r="F277" s="3">
        <f ca="1" t="shared" si="8"/>
        <v>7460.71</v>
      </c>
      <c r="G277" s="3">
        <v>3071.7</v>
      </c>
      <c r="H277" s="3">
        <f ca="1" t="shared" si="9"/>
        <v>2.42885372920533</v>
      </c>
    </row>
    <row r="278" hidden="1" spans="1:8">
      <c r="A278" s="3">
        <f>VLOOKUP(B278,Sheet2!$A$1:$B$31,2,0)</f>
        <v>29</v>
      </c>
      <c r="B278" s="3" t="s">
        <v>36</v>
      </c>
      <c r="C278" s="3">
        <v>2008</v>
      </c>
      <c r="D278" s="3">
        <v>1383.68</v>
      </c>
      <c r="E278" s="3">
        <v>1025.63</v>
      </c>
      <c r="F278" s="3">
        <f ca="1" t="shared" si="8"/>
        <v>2409.31</v>
      </c>
      <c r="G278" s="3">
        <v>896.86</v>
      </c>
      <c r="H278" s="3">
        <f ca="1" t="shared" si="9"/>
        <v>2.68638360502197</v>
      </c>
    </row>
    <row r="279" hidden="1" spans="1:8">
      <c r="A279" s="3">
        <f>VLOOKUP(B279,Sheet2!$A$1:$B$31,2,0)</f>
        <v>30</v>
      </c>
      <c r="B279" s="3" t="s">
        <v>37</v>
      </c>
      <c r="C279" s="3">
        <v>2008</v>
      </c>
      <c r="D279" s="3">
        <v>1590.58</v>
      </c>
      <c r="E279" s="3">
        <v>1402.56</v>
      </c>
      <c r="F279" s="3">
        <f ca="1" t="shared" si="8"/>
        <v>2993.14</v>
      </c>
      <c r="G279" s="3">
        <v>1139.2</v>
      </c>
      <c r="H279" s="3">
        <f ca="1" t="shared" si="9"/>
        <v>2.62740519662921</v>
      </c>
    </row>
    <row r="280" hidden="1" spans="1:8">
      <c r="A280" s="3">
        <f>VLOOKUP(B280,Sheet2!$A$1:$B$31,2,0)</f>
        <v>31</v>
      </c>
      <c r="B280" s="3" t="s">
        <v>38</v>
      </c>
      <c r="C280" s="3">
        <v>2008</v>
      </c>
      <c r="D280" s="3">
        <v>5399.34</v>
      </c>
      <c r="E280" s="3">
        <v>2826.53</v>
      </c>
      <c r="F280" s="3">
        <f ca="1" t="shared" si="8"/>
        <v>8225.87</v>
      </c>
      <c r="G280" s="3">
        <v>4142.5</v>
      </c>
      <c r="H280" s="3">
        <f ca="1" t="shared" si="9"/>
        <v>1.98572601086301</v>
      </c>
    </row>
    <row r="281" hidden="1" spans="1:8">
      <c r="A281" s="3">
        <f>VLOOKUP(B281,Sheet2!$A$1:$B$31,2,0)</f>
        <v>1</v>
      </c>
      <c r="B281" s="3" t="s">
        <v>8</v>
      </c>
      <c r="C281" s="3">
        <v>2009</v>
      </c>
      <c r="D281" s="3">
        <v>56960.1</v>
      </c>
      <c r="E281" s="3">
        <v>31052.9</v>
      </c>
      <c r="F281" s="3">
        <f ca="1" t="shared" si="8"/>
        <v>88013</v>
      </c>
      <c r="G281" s="3">
        <v>12900.9</v>
      </c>
      <c r="H281" s="3">
        <f ca="1" t="shared" si="9"/>
        <v>6.82223720825679</v>
      </c>
    </row>
    <row r="282" hidden="1" spans="1:8">
      <c r="A282" s="3">
        <f>VLOOKUP(B282,Sheet2!$A$1:$B$31,2,0)</f>
        <v>2</v>
      </c>
      <c r="B282" s="3" t="s">
        <v>9</v>
      </c>
      <c r="C282" s="3">
        <v>2009</v>
      </c>
      <c r="D282" s="3">
        <v>13887.1</v>
      </c>
      <c r="E282" s="3">
        <v>11152.2</v>
      </c>
      <c r="F282" s="3">
        <f ca="1" t="shared" si="8"/>
        <v>25039.3</v>
      </c>
      <c r="G282" s="3">
        <v>5709.6</v>
      </c>
      <c r="H282" s="3">
        <f ca="1" t="shared" si="9"/>
        <v>4.38547358834244</v>
      </c>
    </row>
    <row r="283" spans="1:8">
      <c r="A283" s="3">
        <f>VLOOKUP(B283,Sheet2!$A$1:$B$31,2,0)</f>
        <v>3</v>
      </c>
      <c r="B283" s="3" t="s">
        <v>10</v>
      </c>
      <c r="C283" s="3">
        <v>2009</v>
      </c>
      <c r="D283" s="3">
        <v>22361.4</v>
      </c>
      <c r="E283" s="3">
        <v>13123.8</v>
      </c>
      <c r="F283" s="3">
        <f ca="1" t="shared" si="8"/>
        <v>35485.2</v>
      </c>
      <c r="G283" s="3">
        <v>15306.9</v>
      </c>
      <c r="H283" s="3">
        <f ca="1" t="shared" si="9"/>
        <v>2.31824863296944</v>
      </c>
    </row>
    <row r="284" hidden="1" spans="1:8">
      <c r="A284" s="3">
        <f>VLOOKUP(B284,Sheet2!$A$1:$B$31,2,0)</f>
        <v>4</v>
      </c>
      <c r="B284" s="3" t="s">
        <v>11</v>
      </c>
      <c r="C284" s="3">
        <v>2009</v>
      </c>
      <c r="D284" s="3">
        <v>15698.5</v>
      </c>
      <c r="E284" s="3">
        <v>7814.74</v>
      </c>
      <c r="F284" s="3">
        <f ca="1" t="shared" si="8"/>
        <v>23513.24</v>
      </c>
      <c r="G284" s="3">
        <v>7147.61</v>
      </c>
      <c r="H284" s="3">
        <f ca="1" t="shared" si="9"/>
        <v>3.28966465713714</v>
      </c>
    </row>
    <row r="285" hidden="1" spans="1:8">
      <c r="A285" s="3">
        <f>VLOOKUP(B285,Sheet2!$A$1:$B$31,2,0)</f>
        <v>5</v>
      </c>
      <c r="B285" s="3" t="s">
        <v>12</v>
      </c>
      <c r="C285" s="3">
        <v>2009</v>
      </c>
      <c r="D285" s="3">
        <v>8373.7</v>
      </c>
      <c r="E285" s="3">
        <v>6292.52</v>
      </c>
      <c r="F285" s="3">
        <f ca="1" t="shared" si="8"/>
        <v>14666.22</v>
      </c>
      <c r="G285" s="3">
        <v>7104.22</v>
      </c>
      <c r="H285" s="3">
        <f ca="1" t="shared" si="9"/>
        <v>2.06443775671362</v>
      </c>
    </row>
    <row r="286" hidden="1" spans="1:8">
      <c r="A286" s="3">
        <f>VLOOKUP(B286,Sheet2!$A$1:$B$31,2,0)</f>
        <v>6</v>
      </c>
      <c r="B286" s="3" t="s">
        <v>13</v>
      </c>
      <c r="C286" s="3">
        <v>2009</v>
      </c>
      <c r="D286" s="3">
        <v>22758.6</v>
      </c>
      <c r="E286" s="3">
        <v>15549.6</v>
      </c>
      <c r="F286" s="3">
        <f ca="1" t="shared" si="8"/>
        <v>38308.2</v>
      </c>
      <c r="G286" s="3">
        <v>12815.7</v>
      </c>
      <c r="H286" s="3">
        <f ca="1" t="shared" si="9"/>
        <v>2.98916173131393</v>
      </c>
    </row>
    <row r="287" hidden="1" spans="1:8">
      <c r="A287" s="3">
        <f>VLOOKUP(B287,Sheet2!$A$1:$B$31,2,0)</f>
        <v>7</v>
      </c>
      <c r="B287" s="3" t="s">
        <v>14</v>
      </c>
      <c r="C287" s="3">
        <v>2009</v>
      </c>
      <c r="D287" s="3">
        <v>8318</v>
      </c>
      <c r="E287" s="3">
        <v>6234.66</v>
      </c>
      <c r="F287" s="3">
        <f ca="1" t="shared" si="8"/>
        <v>14552.66</v>
      </c>
      <c r="G287" s="3">
        <v>5434.84</v>
      </c>
      <c r="H287" s="3">
        <f ca="1" t="shared" si="9"/>
        <v>2.67766116389811</v>
      </c>
    </row>
    <row r="288" hidden="1" spans="1:8">
      <c r="A288" s="3">
        <f>VLOOKUP(B288,Sheet2!$A$1:$B$31,2,0)</f>
        <v>8</v>
      </c>
      <c r="B288" s="3" t="s">
        <v>15</v>
      </c>
      <c r="C288" s="3">
        <v>2009</v>
      </c>
      <c r="D288" s="3">
        <v>11022.8</v>
      </c>
      <c r="E288" s="3">
        <v>5988.3</v>
      </c>
      <c r="F288" s="3">
        <f ca="1" t="shared" si="8"/>
        <v>17011.1</v>
      </c>
      <c r="G288" s="3">
        <v>7218.9</v>
      </c>
      <c r="H288" s="3">
        <f ca="1" t="shared" si="9"/>
        <v>2.35646705176689</v>
      </c>
    </row>
    <row r="289" hidden="1" spans="1:8">
      <c r="A289" s="3">
        <f>VLOOKUP(B289,Sheet2!$A$1:$B$31,2,0)</f>
        <v>9</v>
      </c>
      <c r="B289" s="3" t="s">
        <v>16</v>
      </c>
      <c r="C289" s="3">
        <v>2009</v>
      </c>
      <c r="D289" s="3">
        <v>44620.3</v>
      </c>
      <c r="E289" s="3">
        <v>29684.1</v>
      </c>
      <c r="F289" s="3">
        <f ca="1" t="shared" si="8"/>
        <v>74304.4</v>
      </c>
      <c r="G289" s="3">
        <v>15742.4</v>
      </c>
      <c r="H289" s="3">
        <f ca="1" t="shared" si="9"/>
        <v>4.72001727817868</v>
      </c>
    </row>
    <row r="290" hidden="1" spans="1:8">
      <c r="A290" s="3">
        <f>VLOOKUP(B290,Sheet2!$A$1:$B$31,2,0)</f>
        <v>10</v>
      </c>
      <c r="B290" s="3" t="s">
        <v>17</v>
      </c>
      <c r="C290" s="3">
        <v>2009</v>
      </c>
      <c r="D290" s="3">
        <v>48850.3</v>
      </c>
      <c r="E290" s="3">
        <v>35296.7</v>
      </c>
      <c r="F290" s="3">
        <f ca="1" t="shared" si="8"/>
        <v>84147</v>
      </c>
      <c r="G290" s="3">
        <v>34471.7</v>
      </c>
      <c r="H290" s="3">
        <f ca="1" t="shared" si="9"/>
        <v>2.44104584340198</v>
      </c>
    </row>
    <row r="291" hidden="1" spans="1:8">
      <c r="A291" s="3">
        <f>VLOOKUP(B291,Sheet2!$A$1:$B$31,2,0)</f>
        <v>11</v>
      </c>
      <c r="B291" s="3" t="s">
        <v>18</v>
      </c>
      <c r="C291" s="3">
        <v>2009</v>
      </c>
      <c r="D291" s="3">
        <v>45112</v>
      </c>
      <c r="E291" s="3">
        <v>39223.9</v>
      </c>
      <c r="F291" s="3">
        <f ca="1" t="shared" si="8"/>
        <v>84335.9</v>
      </c>
      <c r="G291" s="3">
        <v>22833.7</v>
      </c>
      <c r="H291" s="3">
        <f ca="1" t="shared" si="9"/>
        <v>3.69348375427548</v>
      </c>
    </row>
    <row r="292" hidden="1" spans="1:8">
      <c r="A292" s="3">
        <f>VLOOKUP(B292,Sheet2!$A$1:$B$31,2,0)</f>
        <v>12</v>
      </c>
      <c r="B292" s="3" t="s">
        <v>19</v>
      </c>
      <c r="C292" s="3">
        <v>2009</v>
      </c>
      <c r="D292" s="3">
        <v>13404.4</v>
      </c>
      <c r="E292" s="3">
        <v>9438.57</v>
      </c>
      <c r="F292" s="3">
        <f ca="1" t="shared" si="8"/>
        <v>22842.97</v>
      </c>
      <c r="G292" s="3">
        <v>10864.7</v>
      </c>
      <c r="H292" s="3">
        <f ca="1" t="shared" si="9"/>
        <v>2.10249431645605</v>
      </c>
    </row>
    <row r="293" hidden="1" spans="1:8">
      <c r="A293" s="3">
        <f>VLOOKUP(B293,Sheet2!$A$1:$B$31,2,0)</f>
        <v>13</v>
      </c>
      <c r="B293" s="3" t="s">
        <v>20</v>
      </c>
      <c r="C293" s="3">
        <v>2009</v>
      </c>
      <c r="D293" s="3">
        <v>14702.3</v>
      </c>
      <c r="E293" s="3">
        <v>12360.3</v>
      </c>
      <c r="F293" s="3">
        <f ca="1" t="shared" si="8"/>
        <v>27062.6</v>
      </c>
      <c r="G293" s="3">
        <v>12418.1</v>
      </c>
      <c r="H293" s="3">
        <f ca="1" t="shared" si="9"/>
        <v>2.17928668636909</v>
      </c>
    </row>
    <row r="294" hidden="1" spans="1:8">
      <c r="A294" s="3">
        <f>VLOOKUP(B294,Sheet2!$A$1:$B$31,2,0)</f>
        <v>14</v>
      </c>
      <c r="B294" s="3" t="s">
        <v>21</v>
      </c>
      <c r="C294" s="3">
        <v>2009</v>
      </c>
      <c r="D294" s="3">
        <v>9296.39</v>
      </c>
      <c r="E294" s="3">
        <v>6346.99</v>
      </c>
      <c r="F294" s="3">
        <f ca="1" t="shared" si="8"/>
        <v>15643.38</v>
      </c>
      <c r="G294" s="3">
        <v>7629.98</v>
      </c>
      <c r="H294" s="3">
        <f ca="1" t="shared" si="9"/>
        <v>2.05025176999153</v>
      </c>
    </row>
    <row r="295" hidden="1" spans="1:8">
      <c r="A295" s="3">
        <f>VLOOKUP(B295,Sheet2!$A$1:$B$31,2,0)</f>
        <v>15</v>
      </c>
      <c r="B295" s="3" t="s">
        <v>22</v>
      </c>
      <c r="C295" s="3">
        <v>2009</v>
      </c>
      <c r="D295" s="3">
        <v>34697.8</v>
      </c>
      <c r="E295" s="3">
        <v>25961.3</v>
      </c>
      <c r="F295" s="3">
        <f ca="1" t="shared" si="8"/>
        <v>60659.1</v>
      </c>
      <c r="G295" s="3">
        <v>29540.8</v>
      </c>
      <c r="H295" s="3">
        <f ca="1" t="shared" si="9"/>
        <v>2.05340072035964</v>
      </c>
    </row>
    <row r="296" hidden="1" spans="1:8">
      <c r="A296" s="3">
        <f>VLOOKUP(B296,Sheet2!$A$1:$B$31,2,0)</f>
        <v>16</v>
      </c>
      <c r="B296" s="3" t="s">
        <v>23</v>
      </c>
      <c r="C296" s="3">
        <v>2009</v>
      </c>
      <c r="D296" s="3">
        <v>19175.1</v>
      </c>
      <c r="E296" s="3">
        <v>13437.4</v>
      </c>
      <c r="F296" s="3">
        <f ca="1" t="shared" si="8"/>
        <v>32612.5</v>
      </c>
      <c r="G296" s="3">
        <v>19181</v>
      </c>
      <c r="H296" s="3">
        <f ca="1" t="shared" si="9"/>
        <v>1.70025024764089</v>
      </c>
    </row>
    <row r="297" hidden="1" spans="1:8">
      <c r="A297" s="3">
        <f>VLOOKUP(B297,Sheet2!$A$1:$B$31,2,0)</f>
        <v>17</v>
      </c>
      <c r="B297" s="3" t="s">
        <v>24</v>
      </c>
      <c r="C297" s="3">
        <v>2009</v>
      </c>
      <c r="D297" s="3">
        <v>17505.6</v>
      </c>
      <c r="E297" s="3">
        <v>11659.4</v>
      </c>
      <c r="F297" s="3">
        <f ca="1" t="shared" si="8"/>
        <v>29165</v>
      </c>
      <c r="G297" s="3">
        <v>13192.1</v>
      </c>
      <c r="H297" s="3">
        <f ca="1" t="shared" si="9"/>
        <v>2.21079282297739</v>
      </c>
    </row>
    <row r="298" hidden="1" spans="1:8">
      <c r="A298" s="3">
        <f>VLOOKUP(B298,Sheet2!$A$1:$B$31,2,0)</f>
        <v>18</v>
      </c>
      <c r="B298" s="3" t="s">
        <v>25</v>
      </c>
      <c r="C298" s="3">
        <v>2009</v>
      </c>
      <c r="D298" s="3">
        <v>13948</v>
      </c>
      <c r="E298" s="3">
        <v>9369.81</v>
      </c>
      <c r="F298" s="3">
        <f ca="1" t="shared" si="8"/>
        <v>23317.81</v>
      </c>
      <c r="G298" s="3">
        <v>12772.8</v>
      </c>
      <c r="H298" s="3">
        <f ca="1" t="shared" si="9"/>
        <v>1.82558327070024</v>
      </c>
    </row>
    <row r="299" hidden="1" spans="1:8">
      <c r="A299" s="3">
        <f>VLOOKUP(B299,Sheet2!$A$1:$B$31,2,0)</f>
        <v>19</v>
      </c>
      <c r="B299" s="3" t="s">
        <v>26</v>
      </c>
      <c r="C299" s="3">
        <v>2009</v>
      </c>
      <c r="D299" s="3">
        <v>69691.5</v>
      </c>
      <c r="E299" s="3">
        <v>67742.6</v>
      </c>
      <c r="F299" s="3">
        <f ca="1" t="shared" si="8"/>
        <v>137434.1</v>
      </c>
      <c r="G299" s="3">
        <v>39464.7</v>
      </c>
      <c r="H299" s="3">
        <f ca="1" t="shared" si="9"/>
        <v>3.48245647376009</v>
      </c>
    </row>
    <row r="300" hidden="1" spans="1:8">
      <c r="A300" s="3">
        <f>VLOOKUP(B300,Sheet2!$A$1:$B$31,2,0)</f>
        <v>20</v>
      </c>
      <c r="B300" s="3" t="s">
        <v>27</v>
      </c>
      <c r="C300" s="3">
        <v>2009</v>
      </c>
      <c r="D300" s="3">
        <v>9638.89</v>
      </c>
      <c r="E300" s="3">
        <v>7360.43</v>
      </c>
      <c r="F300" s="3">
        <f ca="1" t="shared" si="8"/>
        <v>16999.32</v>
      </c>
      <c r="G300" s="3">
        <v>7112.91</v>
      </c>
      <c r="H300" s="3">
        <f ca="1" t="shared" si="9"/>
        <v>2.38992479871108</v>
      </c>
    </row>
    <row r="301" hidden="1" spans="1:8">
      <c r="A301" s="3">
        <f>VLOOKUP(B301,Sheet2!$A$1:$B$31,2,0)</f>
        <v>21</v>
      </c>
      <c r="B301" s="3" t="s">
        <v>28</v>
      </c>
      <c r="C301" s="3">
        <v>2009</v>
      </c>
      <c r="D301" s="3">
        <v>3175.7</v>
      </c>
      <c r="E301" s="3">
        <v>1940.86</v>
      </c>
      <c r="F301" s="3">
        <f ca="1" t="shared" si="8"/>
        <v>5116.56</v>
      </c>
      <c r="G301" s="3">
        <v>1620.28</v>
      </c>
      <c r="H301" s="3">
        <f ca="1" t="shared" si="9"/>
        <v>3.1578245735305</v>
      </c>
    </row>
    <row r="302" hidden="1" spans="1:8">
      <c r="A302" s="3">
        <f>VLOOKUP(B302,Sheet2!$A$1:$B$31,2,0)</f>
        <v>22</v>
      </c>
      <c r="B302" s="3" t="s">
        <v>29</v>
      </c>
      <c r="C302" s="3">
        <v>2009</v>
      </c>
      <c r="D302" s="3">
        <v>11084.8</v>
      </c>
      <c r="E302" s="3">
        <v>8856.56</v>
      </c>
      <c r="F302" s="3">
        <f ca="1" t="shared" si="8"/>
        <v>19941.36</v>
      </c>
      <c r="G302" s="3">
        <v>6651.22</v>
      </c>
      <c r="H302" s="3">
        <f ca="1" t="shared" si="9"/>
        <v>2.99815071520713</v>
      </c>
    </row>
    <row r="303" hidden="1" spans="1:8">
      <c r="A303" s="3">
        <f>VLOOKUP(B303,Sheet2!$A$1:$B$31,2,0)</f>
        <v>23</v>
      </c>
      <c r="B303" s="3" t="s">
        <v>30</v>
      </c>
      <c r="C303" s="3">
        <v>2009</v>
      </c>
      <c r="D303" s="3">
        <v>24976.4</v>
      </c>
      <c r="E303" s="3">
        <v>22892.5</v>
      </c>
      <c r="F303" s="3">
        <f ca="1" t="shared" si="8"/>
        <v>47868.9</v>
      </c>
      <c r="G303" s="3">
        <v>14190.6</v>
      </c>
      <c r="H303" s="3">
        <f ca="1" t="shared" si="9"/>
        <v>3.37328231364424</v>
      </c>
    </row>
    <row r="304" hidden="1" spans="1:8">
      <c r="A304" s="3">
        <f>VLOOKUP(B304,Sheet2!$A$1:$B$31,2,0)</f>
        <v>24</v>
      </c>
      <c r="B304" s="3" t="s">
        <v>31</v>
      </c>
      <c r="C304" s="3">
        <v>2009</v>
      </c>
      <c r="D304" s="3">
        <v>5898.26</v>
      </c>
      <c r="E304" s="3">
        <v>4656.5</v>
      </c>
      <c r="F304" s="3">
        <f ca="1" t="shared" si="8"/>
        <v>10554.76</v>
      </c>
      <c r="G304" s="3">
        <v>3856.66</v>
      </c>
      <c r="H304" s="3">
        <f ca="1" t="shared" si="9"/>
        <v>2.73676186129967</v>
      </c>
    </row>
    <row r="305" hidden="1" spans="1:8">
      <c r="A305" s="3">
        <f>VLOOKUP(B305,Sheet2!$A$1:$B$31,2,0)</f>
        <v>25</v>
      </c>
      <c r="B305" s="3" t="s">
        <v>32</v>
      </c>
      <c r="C305" s="3">
        <v>2009</v>
      </c>
      <c r="D305" s="3">
        <v>11119.6</v>
      </c>
      <c r="E305" s="3">
        <v>8779.63</v>
      </c>
      <c r="F305" s="3">
        <f ca="1" t="shared" si="8"/>
        <v>19899.23</v>
      </c>
      <c r="G305" s="3">
        <v>6574.36</v>
      </c>
      <c r="H305" s="3">
        <f ca="1" t="shared" si="9"/>
        <v>3.02679348255952</v>
      </c>
    </row>
    <row r="306" hidden="1" spans="1:8">
      <c r="A306" s="3">
        <f>VLOOKUP(B306,Sheet2!$A$1:$B$31,2,0)</f>
        <v>26</v>
      </c>
      <c r="B306" s="3" t="s">
        <v>33</v>
      </c>
      <c r="C306" s="3">
        <v>2009</v>
      </c>
      <c r="D306" s="3">
        <v>1027.24</v>
      </c>
      <c r="E306" s="3">
        <v>248.01</v>
      </c>
      <c r="F306" s="3">
        <f ca="1" t="shared" si="8"/>
        <v>1275.25</v>
      </c>
      <c r="G306" s="3">
        <v>445.67</v>
      </c>
      <c r="H306" s="3">
        <f ca="1" t="shared" si="9"/>
        <v>2.86142212848071</v>
      </c>
    </row>
    <row r="307" hidden="1" spans="1:8">
      <c r="A307" s="3">
        <f>VLOOKUP(B307,Sheet2!$A$1:$B$31,2,0)</f>
        <v>27</v>
      </c>
      <c r="B307" s="3" t="s">
        <v>34</v>
      </c>
      <c r="C307" s="3">
        <v>2009</v>
      </c>
      <c r="D307" s="3">
        <v>13860.4</v>
      </c>
      <c r="E307" s="3">
        <v>8276.64</v>
      </c>
      <c r="F307" s="3">
        <f ca="1" t="shared" si="8"/>
        <v>22137.04</v>
      </c>
      <c r="G307" s="3">
        <v>7997.83</v>
      </c>
      <c r="H307" s="3">
        <f ca="1" t="shared" si="9"/>
        <v>2.76788078766365</v>
      </c>
    </row>
    <row r="308" hidden="1" spans="1:8">
      <c r="A308" s="3">
        <f>VLOOKUP(B308,Sheet2!$A$1:$B$31,2,0)</f>
        <v>28</v>
      </c>
      <c r="B308" s="3" t="s">
        <v>35</v>
      </c>
      <c r="C308" s="3">
        <v>2009</v>
      </c>
      <c r="D308" s="3">
        <v>5881.82</v>
      </c>
      <c r="E308" s="3">
        <v>3649.62</v>
      </c>
      <c r="F308" s="3">
        <f ca="1" t="shared" si="8"/>
        <v>9531.44</v>
      </c>
      <c r="G308" s="3">
        <v>3268.26</v>
      </c>
      <c r="H308" s="3">
        <f ca="1" t="shared" si="9"/>
        <v>2.91636528305581</v>
      </c>
    </row>
    <row r="309" hidden="1" spans="1:8">
      <c r="A309" s="3">
        <f>VLOOKUP(B309,Sheet2!$A$1:$B$31,2,0)</f>
        <v>29</v>
      </c>
      <c r="B309" s="3" t="s">
        <v>36</v>
      </c>
      <c r="C309" s="3">
        <v>2009</v>
      </c>
      <c r="D309" s="3">
        <v>1785.78</v>
      </c>
      <c r="E309" s="3">
        <v>1399.02</v>
      </c>
      <c r="F309" s="3">
        <f ca="1" t="shared" si="8"/>
        <v>3184.8</v>
      </c>
      <c r="G309" s="3">
        <v>939.7</v>
      </c>
      <c r="H309" s="3">
        <f ca="1" t="shared" si="9"/>
        <v>3.38916675534745</v>
      </c>
    </row>
    <row r="310" hidden="1" spans="1:8">
      <c r="A310" s="3">
        <f>VLOOKUP(B310,Sheet2!$A$1:$B$31,2,0)</f>
        <v>30</v>
      </c>
      <c r="B310" s="3" t="s">
        <v>37</v>
      </c>
      <c r="C310" s="3">
        <v>2009</v>
      </c>
      <c r="D310" s="3">
        <v>2058.49</v>
      </c>
      <c r="E310" s="3">
        <v>1917.4</v>
      </c>
      <c r="F310" s="3">
        <f ca="1" t="shared" si="8"/>
        <v>3975.89</v>
      </c>
      <c r="G310" s="3">
        <v>1266.7</v>
      </c>
      <c r="H310" s="3">
        <f ca="1" t="shared" si="9"/>
        <v>3.13877792689666</v>
      </c>
    </row>
    <row r="311" hidden="1" spans="1:8">
      <c r="A311" s="3">
        <f>VLOOKUP(B311,Sheet2!$A$1:$B$31,2,0)</f>
        <v>31</v>
      </c>
      <c r="B311" s="3" t="s">
        <v>38</v>
      </c>
      <c r="C311" s="3">
        <v>2009</v>
      </c>
      <c r="D311" s="3">
        <v>6845.07</v>
      </c>
      <c r="E311" s="3">
        <v>3782.92</v>
      </c>
      <c r="F311" s="3">
        <f ca="1" t="shared" si="8"/>
        <v>10627.99</v>
      </c>
      <c r="G311" s="3">
        <v>4237</v>
      </c>
      <c r="H311" s="3">
        <f ca="1" t="shared" si="9"/>
        <v>2.50837620958225</v>
      </c>
    </row>
    <row r="312" hidden="1" spans="1:8">
      <c r="A312" s="3">
        <f>VLOOKUP(B312,Sheet2!$A$1:$B$31,2,0)</f>
        <v>1</v>
      </c>
      <c r="B312" s="3" t="s">
        <v>8</v>
      </c>
      <c r="C312" s="3">
        <v>2010</v>
      </c>
      <c r="D312" s="3">
        <v>66584.6</v>
      </c>
      <c r="E312" s="3">
        <v>36479.6</v>
      </c>
      <c r="F312" s="3">
        <f ca="1" t="shared" si="8"/>
        <v>103064.2</v>
      </c>
      <c r="G312" s="3">
        <v>14964</v>
      </c>
      <c r="H312" s="3">
        <f ca="1" t="shared" si="9"/>
        <v>6.88747661053194</v>
      </c>
    </row>
    <row r="313" hidden="1" spans="1:8">
      <c r="A313" s="3">
        <f>VLOOKUP(B313,Sheet2!$A$1:$B$31,2,0)</f>
        <v>2</v>
      </c>
      <c r="B313" s="3" t="s">
        <v>9</v>
      </c>
      <c r="C313" s="3">
        <v>2010</v>
      </c>
      <c r="D313" s="3">
        <v>16499.3</v>
      </c>
      <c r="E313" s="3">
        <v>13774.1</v>
      </c>
      <c r="F313" s="3">
        <f ca="1" t="shared" si="8"/>
        <v>30273.4</v>
      </c>
      <c r="G313" s="3">
        <v>6830.8</v>
      </c>
      <c r="H313" s="3">
        <f ca="1" t="shared" si="9"/>
        <v>4.431896703168</v>
      </c>
    </row>
    <row r="314" spans="1:8">
      <c r="A314" s="3">
        <f>VLOOKUP(B314,Sheet2!$A$1:$B$31,2,0)</f>
        <v>3</v>
      </c>
      <c r="B314" s="3" t="s">
        <v>10</v>
      </c>
      <c r="C314" s="3">
        <v>2010</v>
      </c>
      <c r="D314" s="3">
        <v>26099</v>
      </c>
      <c r="E314" s="3">
        <v>15755.7</v>
      </c>
      <c r="F314" s="3">
        <f ca="1" t="shared" si="8"/>
        <v>41854.7</v>
      </c>
      <c r="G314" s="3">
        <v>18003.6</v>
      </c>
      <c r="H314" s="3">
        <f ca="1" t="shared" si="9"/>
        <v>2.32479615188074</v>
      </c>
    </row>
    <row r="315" hidden="1" spans="1:8">
      <c r="A315" s="3">
        <f>VLOOKUP(B315,Sheet2!$A$1:$B$31,2,0)</f>
        <v>4</v>
      </c>
      <c r="B315" s="3" t="s">
        <v>11</v>
      </c>
      <c r="C315" s="3">
        <v>2010</v>
      </c>
      <c r="D315" s="3">
        <v>18575.7</v>
      </c>
      <c r="E315" s="3">
        <v>9634.32</v>
      </c>
      <c r="F315" s="3">
        <f ca="1" t="shared" si="8"/>
        <v>28210.02</v>
      </c>
      <c r="G315" s="3">
        <v>8903.9</v>
      </c>
      <c r="H315" s="3">
        <f ca="1" t="shared" si="9"/>
        <v>3.16827682251598</v>
      </c>
    </row>
    <row r="316" hidden="1" spans="1:8">
      <c r="A316" s="3">
        <f>VLOOKUP(B316,Sheet2!$A$1:$B$31,2,0)</f>
        <v>5</v>
      </c>
      <c r="B316" s="3" t="s">
        <v>12</v>
      </c>
      <c r="C316" s="3">
        <v>2010</v>
      </c>
      <c r="D316" s="3">
        <v>10278.7</v>
      </c>
      <c r="E316" s="3">
        <v>7919.47</v>
      </c>
      <c r="F316" s="3">
        <f ca="1" t="shared" si="8"/>
        <v>18198.17</v>
      </c>
      <c r="G316" s="3">
        <v>8199.86</v>
      </c>
      <c r="H316" s="3">
        <f ca="1" t="shared" si="9"/>
        <v>2.21932691533758</v>
      </c>
    </row>
    <row r="317" hidden="1" spans="1:8">
      <c r="A317" s="3">
        <f>VLOOKUP(B317,Sheet2!$A$1:$B$31,2,0)</f>
        <v>6</v>
      </c>
      <c r="B317" s="3" t="s">
        <v>13</v>
      </c>
      <c r="C317" s="3">
        <v>2010</v>
      </c>
      <c r="D317" s="3">
        <v>27372.5</v>
      </c>
      <c r="E317" s="3">
        <v>18689.8</v>
      </c>
      <c r="F317" s="3">
        <f ca="1" t="shared" si="8"/>
        <v>46062.3</v>
      </c>
      <c r="G317" s="3">
        <v>13896.3</v>
      </c>
      <c r="H317" s="3">
        <f ca="1" t="shared" si="9"/>
        <v>3.31471686707973</v>
      </c>
    </row>
    <row r="318" hidden="1" spans="1:8">
      <c r="A318" s="3">
        <f>VLOOKUP(B318,Sheet2!$A$1:$B$31,2,0)</f>
        <v>7</v>
      </c>
      <c r="B318" s="3" t="s">
        <v>14</v>
      </c>
      <c r="C318" s="3">
        <v>2010</v>
      </c>
      <c r="D318" s="3">
        <v>9606.7</v>
      </c>
      <c r="E318" s="3">
        <v>7205.94</v>
      </c>
      <c r="F318" s="3">
        <f ca="1" t="shared" si="8"/>
        <v>16812.64</v>
      </c>
      <c r="G318" s="3">
        <v>6410.48</v>
      </c>
      <c r="H318" s="3">
        <f ca="1" t="shared" si="9"/>
        <v>2.62268036090901</v>
      </c>
    </row>
    <row r="319" hidden="1" spans="1:8">
      <c r="A319" s="3">
        <f>VLOOKUP(B319,Sheet2!$A$1:$B$31,2,0)</f>
        <v>8</v>
      </c>
      <c r="B319" s="3" t="s">
        <v>15</v>
      </c>
      <c r="C319" s="3">
        <v>2010</v>
      </c>
      <c r="D319" s="3">
        <v>12835.7</v>
      </c>
      <c r="E319" s="3">
        <v>7230.5</v>
      </c>
      <c r="F319" s="3">
        <f ca="1" t="shared" si="8"/>
        <v>20066.2</v>
      </c>
      <c r="G319" s="3">
        <v>8308.3</v>
      </c>
      <c r="H319" s="3">
        <f ca="1" t="shared" si="9"/>
        <v>2.41519925857275</v>
      </c>
    </row>
    <row r="320" hidden="1" spans="1:8">
      <c r="A320" s="3">
        <f>VLOOKUP(B320,Sheet2!$A$1:$B$31,2,0)</f>
        <v>9</v>
      </c>
      <c r="B320" s="3" t="s">
        <v>16</v>
      </c>
      <c r="C320" s="3">
        <v>2010</v>
      </c>
      <c r="D320" s="3">
        <v>52190</v>
      </c>
      <c r="E320" s="3">
        <v>34154.2</v>
      </c>
      <c r="F320" s="3">
        <f ca="1" t="shared" si="8"/>
        <v>86344.2</v>
      </c>
      <c r="G320" s="3">
        <v>17915.4</v>
      </c>
      <c r="H320" s="3">
        <f ca="1" t="shared" si="9"/>
        <v>4.81955189390134</v>
      </c>
    </row>
    <row r="321" hidden="1" spans="1:8">
      <c r="A321" s="3">
        <f>VLOOKUP(B321,Sheet2!$A$1:$B$31,2,0)</f>
        <v>10</v>
      </c>
      <c r="B321" s="3" t="s">
        <v>17</v>
      </c>
      <c r="C321" s="3">
        <v>2010</v>
      </c>
      <c r="D321" s="3">
        <v>58984.1</v>
      </c>
      <c r="E321" s="3">
        <v>42121</v>
      </c>
      <c r="F321" s="3">
        <f ca="1" t="shared" si="8"/>
        <v>101105.1</v>
      </c>
      <c r="G321" s="3">
        <v>41383.9</v>
      </c>
      <c r="H321" s="3">
        <f ca="1" t="shared" si="9"/>
        <v>2.44310226923997</v>
      </c>
    </row>
    <row r="322" hidden="1" spans="1:8">
      <c r="A322" s="3">
        <f>VLOOKUP(B322,Sheet2!$A$1:$B$31,2,0)</f>
        <v>11</v>
      </c>
      <c r="B322" s="3" t="s">
        <v>18</v>
      </c>
      <c r="C322" s="3">
        <v>2010</v>
      </c>
      <c r="D322" s="3">
        <v>54482.3</v>
      </c>
      <c r="E322" s="3">
        <v>46938.5</v>
      </c>
      <c r="F322" s="3">
        <f ca="1" t="shared" ref="F322:F385" si="10">D322+E322</f>
        <v>101420.8</v>
      </c>
      <c r="G322" s="3">
        <v>27399.8</v>
      </c>
      <c r="H322" s="3">
        <f ca="1" t="shared" ref="H322:H385" si="11">F322/G322</f>
        <v>3.70151606946036</v>
      </c>
    </row>
    <row r="323" hidden="1" spans="1:8">
      <c r="A323" s="3">
        <f>VLOOKUP(B323,Sheet2!$A$1:$B$31,2,0)</f>
        <v>12</v>
      </c>
      <c r="B323" s="3" t="s">
        <v>19</v>
      </c>
      <c r="C323" s="3">
        <v>2010</v>
      </c>
      <c r="D323" s="3">
        <v>16477.6</v>
      </c>
      <c r="E323" s="3">
        <v>11736.5</v>
      </c>
      <c r="F323" s="3">
        <f ca="1" t="shared" si="10"/>
        <v>28214.1</v>
      </c>
      <c r="G323" s="3">
        <v>13249.8</v>
      </c>
      <c r="H323" s="3">
        <f ca="1" t="shared" si="11"/>
        <v>2.12939817959516</v>
      </c>
    </row>
    <row r="324" hidden="1" spans="1:8">
      <c r="A324" s="3">
        <f>VLOOKUP(B324,Sheet2!$A$1:$B$31,2,0)</f>
        <v>13</v>
      </c>
      <c r="B324" s="3" t="s">
        <v>20</v>
      </c>
      <c r="C324" s="3">
        <v>2010</v>
      </c>
      <c r="D324" s="3">
        <v>18309.4</v>
      </c>
      <c r="E324" s="3">
        <v>15231.4</v>
      </c>
      <c r="F324" s="3">
        <f ca="1" t="shared" si="10"/>
        <v>33540.8</v>
      </c>
      <c r="G324" s="3">
        <v>15002.5</v>
      </c>
      <c r="H324" s="3">
        <f ca="1" t="shared" si="11"/>
        <v>2.23568071988002</v>
      </c>
    </row>
    <row r="325" hidden="1" spans="1:8">
      <c r="A325" s="3">
        <f>VLOOKUP(B325,Sheet2!$A$1:$B$31,2,0)</f>
        <v>14</v>
      </c>
      <c r="B325" s="3" t="s">
        <v>21</v>
      </c>
      <c r="C325" s="3">
        <v>2010</v>
      </c>
      <c r="D325" s="3">
        <v>9352.8</v>
      </c>
      <c r="E325" s="3">
        <v>6416.2</v>
      </c>
      <c r="F325" s="3">
        <f ca="1" t="shared" si="10"/>
        <v>15769</v>
      </c>
      <c r="G325" s="3">
        <v>9383.16</v>
      </c>
      <c r="H325" s="3">
        <f ca="1" t="shared" si="11"/>
        <v>1.68056390384476</v>
      </c>
    </row>
    <row r="326" hidden="1" spans="1:8">
      <c r="A326" s="3">
        <f>VLOOKUP(B326,Sheet2!$A$1:$B$31,2,0)</f>
        <v>15</v>
      </c>
      <c r="B326" s="3" t="s">
        <v>22</v>
      </c>
      <c r="C326" s="3">
        <v>2010</v>
      </c>
      <c r="D326" s="3">
        <v>41105</v>
      </c>
      <c r="E326" s="3">
        <v>30722.6</v>
      </c>
      <c r="F326" s="3">
        <f ca="1" t="shared" si="10"/>
        <v>71827.6</v>
      </c>
      <c r="G326" s="3">
        <v>33922.5</v>
      </c>
      <c r="H326" s="3">
        <f ca="1" t="shared" si="11"/>
        <v>2.1174029036775</v>
      </c>
    </row>
    <row r="327" hidden="1" spans="1:8">
      <c r="A327" s="3">
        <f>VLOOKUP(B327,Sheet2!$A$1:$B$31,2,0)</f>
        <v>16</v>
      </c>
      <c r="B327" s="3" t="s">
        <v>23</v>
      </c>
      <c r="C327" s="3">
        <v>2010</v>
      </c>
      <c r="D327" s="3">
        <v>23148.8</v>
      </c>
      <c r="E327" s="3">
        <v>15871.3</v>
      </c>
      <c r="F327" s="3">
        <f ca="1" t="shared" si="10"/>
        <v>39020.1</v>
      </c>
      <c r="G327" s="3">
        <v>22655</v>
      </c>
      <c r="H327" s="3">
        <f ca="1" t="shared" si="11"/>
        <v>1.72236150960053</v>
      </c>
    </row>
    <row r="328" hidden="1" spans="1:8">
      <c r="A328" s="3">
        <f>VLOOKUP(B328,Sheet2!$A$1:$B$31,2,0)</f>
        <v>17</v>
      </c>
      <c r="B328" s="3" t="s">
        <v>24</v>
      </c>
      <c r="C328" s="3">
        <v>2010</v>
      </c>
      <c r="D328" s="3">
        <v>21568.3</v>
      </c>
      <c r="E328" s="3">
        <v>14136.6</v>
      </c>
      <c r="F328" s="3">
        <f ca="1" t="shared" si="10"/>
        <v>35704.9</v>
      </c>
      <c r="G328" s="3">
        <v>16226.9</v>
      </c>
      <c r="H328" s="3">
        <f ca="1" t="shared" si="11"/>
        <v>2.20035250109386</v>
      </c>
    </row>
    <row r="329" hidden="1" spans="1:8">
      <c r="A329" s="3">
        <f>VLOOKUP(B329,Sheet2!$A$1:$B$31,2,0)</f>
        <v>18</v>
      </c>
      <c r="B329" s="3" t="s">
        <v>25</v>
      </c>
      <c r="C329" s="3">
        <v>2010</v>
      </c>
      <c r="D329" s="3">
        <v>16643.3</v>
      </c>
      <c r="E329" s="3">
        <v>11303.8</v>
      </c>
      <c r="F329" s="3">
        <f ca="1" t="shared" si="10"/>
        <v>27947.1</v>
      </c>
      <c r="G329" s="3">
        <v>15574.3</v>
      </c>
      <c r="H329" s="3">
        <f ca="1" t="shared" si="11"/>
        <v>1.79443698914237</v>
      </c>
    </row>
    <row r="330" hidden="1" spans="1:8">
      <c r="A330" s="3">
        <f>VLOOKUP(B330,Sheet2!$A$1:$B$31,2,0)</f>
        <v>19</v>
      </c>
      <c r="B330" s="3" t="s">
        <v>26</v>
      </c>
      <c r="C330" s="3">
        <v>2010</v>
      </c>
      <c r="D330" s="3">
        <v>82019.4</v>
      </c>
      <c r="E330" s="3">
        <v>79958</v>
      </c>
      <c r="F330" s="3">
        <f ca="1" t="shared" si="10"/>
        <v>161977.4</v>
      </c>
      <c r="G330" s="3">
        <v>45944.6</v>
      </c>
      <c r="H330" s="3">
        <f ca="1" t="shared" si="11"/>
        <v>3.52549374681682</v>
      </c>
    </row>
    <row r="331" hidden="1" spans="1:8">
      <c r="A331" s="3">
        <f>VLOOKUP(B331,Sheet2!$A$1:$B$31,2,0)</f>
        <v>20</v>
      </c>
      <c r="B331" s="3" t="s">
        <v>27</v>
      </c>
      <c r="C331" s="3">
        <v>2010</v>
      </c>
      <c r="D331" s="3">
        <v>11813.9</v>
      </c>
      <c r="E331" s="3">
        <v>8979.87</v>
      </c>
      <c r="F331" s="3">
        <f ca="1" t="shared" si="10"/>
        <v>20793.77</v>
      </c>
      <c r="G331" s="3">
        <v>8552.44</v>
      </c>
      <c r="H331" s="3">
        <f ca="1" t="shared" si="11"/>
        <v>2.43132603093386</v>
      </c>
    </row>
    <row r="332" hidden="1" spans="1:8">
      <c r="A332" s="3">
        <f>VLOOKUP(B332,Sheet2!$A$1:$B$31,2,0)</f>
        <v>21</v>
      </c>
      <c r="B332" s="3" t="s">
        <v>28</v>
      </c>
      <c r="C332" s="3">
        <v>2010</v>
      </c>
      <c r="D332" s="3">
        <v>4217.16</v>
      </c>
      <c r="E332" s="3">
        <v>2514.08</v>
      </c>
      <c r="F332" s="3">
        <f ca="1" t="shared" si="10"/>
        <v>6731.24</v>
      </c>
      <c r="G332" s="3">
        <v>2020.53</v>
      </c>
      <c r="H332" s="3">
        <f ca="1" t="shared" si="11"/>
        <v>3.33142294348512</v>
      </c>
    </row>
    <row r="333" hidden="1" spans="1:8">
      <c r="A333" s="3">
        <f>VLOOKUP(B333,Sheet2!$A$1:$B$31,2,0)</f>
        <v>22</v>
      </c>
      <c r="B333" s="3" t="s">
        <v>29</v>
      </c>
      <c r="C333" s="3">
        <v>2010</v>
      </c>
      <c r="D333" s="3">
        <v>13614</v>
      </c>
      <c r="E333" s="3">
        <v>10999.9</v>
      </c>
      <c r="F333" s="3">
        <f ca="1" t="shared" si="10"/>
        <v>24613.9</v>
      </c>
      <c r="G333" s="3">
        <v>8065.26</v>
      </c>
      <c r="H333" s="3">
        <f ca="1" t="shared" si="11"/>
        <v>3.05184209808487</v>
      </c>
    </row>
    <row r="334" hidden="1" spans="1:8">
      <c r="A334" s="3">
        <f>VLOOKUP(B334,Sheet2!$A$1:$B$31,2,0)</f>
        <v>23</v>
      </c>
      <c r="B334" s="3" t="s">
        <v>30</v>
      </c>
      <c r="C334" s="3">
        <v>2010</v>
      </c>
      <c r="D334" s="3">
        <v>30299.7</v>
      </c>
      <c r="E334" s="3">
        <v>19129.8</v>
      </c>
      <c r="F334" s="3">
        <f ca="1" t="shared" si="10"/>
        <v>49429.5</v>
      </c>
      <c r="G334" s="3">
        <v>17224.8</v>
      </c>
      <c r="H334" s="3">
        <f ca="1" t="shared" si="11"/>
        <v>2.86967047512888</v>
      </c>
    </row>
    <row r="335" hidden="1" spans="1:8">
      <c r="A335" s="3">
        <f>VLOOKUP(B335,Sheet2!$A$1:$B$31,2,0)</f>
        <v>24</v>
      </c>
      <c r="B335" s="3" t="s">
        <v>31</v>
      </c>
      <c r="C335" s="3">
        <v>2010</v>
      </c>
      <c r="D335" s="3">
        <v>7363.92</v>
      </c>
      <c r="E335" s="3">
        <v>5747.53</v>
      </c>
      <c r="F335" s="3">
        <f ca="1" t="shared" si="10"/>
        <v>13111.45</v>
      </c>
      <c r="G335" s="3">
        <v>4518.95</v>
      </c>
      <c r="H335" s="3">
        <f ca="1" t="shared" si="11"/>
        <v>2.90143728078425</v>
      </c>
    </row>
    <row r="336" hidden="1" spans="1:8">
      <c r="A336" s="3">
        <f>VLOOKUP(B336,Sheet2!$A$1:$B$31,2,0)</f>
        <v>25</v>
      </c>
      <c r="B336" s="3" t="s">
        <v>32</v>
      </c>
      <c r="C336" s="3">
        <v>2010</v>
      </c>
      <c r="D336" s="3">
        <v>13411.5</v>
      </c>
      <c r="E336" s="3">
        <v>10568.8</v>
      </c>
      <c r="F336" s="3">
        <f ca="1" t="shared" si="10"/>
        <v>23980.3</v>
      </c>
      <c r="G336" s="3">
        <v>7735.33</v>
      </c>
      <c r="H336" s="3">
        <f ca="1" t="shared" si="11"/>
        <v>3.10010044820324</v>
      </c>
    </row>
    <row r="337" hidden="1" spans="1:8">
      <c r="A337" s="3">
        <f>VLOOKUP(B337,Sheet2!$A$1:$B$31,2,0)</f>
        <v>26</v>
      </c>
      <c r="B337" s="3" t="s">
        <v>33</v>
      </c>
      <c r="C337" s="3">
        <v>2010</v>
      </c>
      <c r="D337" s="3">
        <v>1295.54</v>
      </c>
      <c r="E337" s="3">
        <v>301.49</v>
      </c>
      <c r="F337" s="3">
        <f ca="1" t="shared" si="10"/>
        <v>1597.03</v>
      </c>
      <c r="G337" s="3">
        <v>512.87</v>
      </c>
      <c r="H337" s="3">
        <f ca="1" t="shared" si="11"/>
        <v>3.11390800787724</v>
      </c>
    </row>
    <row r="338" hidden="1" spans="1:8">
      <c r="A338" s="3">
        <f>VLOOKUP(B338,Sheet2!$A$1:$B$31,2,0)</f>
        <v>27</v>
      </c>
      <c r="B338" s="3" t="s">
        <v>34</v>
      </c>
      <c r="C338" s="3">
        <v>2010</v>
      </c>
      <c r="D338" s="3">
        <v>16456.1</v>
      </c>
      <c r="E338" s="3">
        <v>10033.1</v>
      </c>
      <c r="F338" s="3">
        <f ca="1" t="shared" si="10"/>
        <v>26489.2</v>
      </c>
      <c r="G338" s="3">
        <v>9845.19</v>
      </c>
      <c r="H338" s="3">
        <f ca="1" t="shared" si="11"/>
        <v>2.69057275684878</v>
      </c>
    </row>
    <row r="339" hidden="1" spans="1:8">
      <c r="A339" s="3">
        <f>VLOOKUP(B339,Sheet2!$A$1:$B$31,2,0)</f>
        <v>28</v>
      </c>
      <c r="B339" s="3" t="s">
        <v>35</v>
      </c>
      <c r="C339" s="3">
        <v>2010</v>
      </c>
      <c r="D339" s="3">
        <v>7146.66</v>
      </c>
      <c r="E339" s="3">
        <v>4576.68</v>
      </c>
      <c r="F339" s="3">
        <f ca="1" t="shared" si="10"/>
        <v>11723.34</v>
      </c>
      <c r="G339" s="3">
        <v>3943.73</v>
      </c>
      <c r="H339" s="3">
        <f ca="1" t="shared" si="11"/>
        <v>2.97265279316789</v>
      </c>
    </row>
    <row r="340" hidden="1" spans="1:8">
      <c r="A340" s="3">
        <f>VLOOKUP(B340,Sheet2!$A$1:$B$31,2,0)</f>
        <v>29</v>
      </c>
      <c r="B340" s="3" t="s">
        <v>36</v>
      </c>
      <c r="C340" s="3">
        <v>2010</v>
      </c>
      <c r="D340" s="3">
        <v>2319.64</v>
      </c>
      <c r="E340" s="3">
        <v>1822.65</v>
      </c>
      <c r="F340" s="3">
        <f ca="1" t="shared" si="10"/>
        <v>4142.29</v>
      </c>
      <c r="G340" s="3">
        <v>1144.18</v>
      </c>
      <c r="H340" s="3">
        <f ca="1" t="shared" si="11"/>
        <v>3.62031323742768</v>
      </c>
    </row>
    <row r="341" hidden="1" spans="1:8">
      <c r="A341" s="3">
        <f>VLOOKUP(B341,Sheet2!$A$1:$B$31,2,0)</f>
        <v>30</v>
      </c>
      <c r="B341" s="3" t="s">
        <v>37</v>
      </c>
      <c r="C341" s="3">
        <v>2010</v>
      </c>
      <c r="D341" s="3">
        <v>2573.64</v>
      </c>
      <c r="E341" s="3">
        <v>2398.7</v>
      </c>
      <c r="F341" s="3">
        <f ca="1" t="shared" si="10"/>
        <v>4972.34</v>
      </c>
      <c r="G341" s="3">
        <v>1571.7</v>
      </c>
      <c r="H341" s="3">
        <f ca="1" t="shared" si="11"/>
        <v>3.16366991156073</v>
      </c>
    </row>
    <row r="342" hidden="1" spans="1:8">
      <c r="A342" s="3">
        <f>VLOOKUP(B342,Sheet2!$A$1:$B$31,2,0)</f>
        <v>31</v>
      </c>
      <c r="B342" s="3" t="s">
        <v>38</v>
      </c>
      <c r="C342" s="3">
        <v>2010</v>
      </c>
      <c r="D342" s="3">
        <v>8870.72</v>
      </c>
      <c r="E342" s="3">
        <v>4973.16</v>
      </c>
      <c r="F342" s="3">
        <f ca="1" t="shared" si="10"/>
        <v>13843.88</v>
      </c>
      <c r="G342" s="3">
        <v>5360.2</v>
      </c>
      <c r="H342" s="3">
        <f ca="1" t="shared" si="11"/>
        <v>2.58271706279616</v>
      </c>
    </row>
    <row r="343" hidden="1" spans="1:8">
      <c r="A343" s="3">
        <f>VLOOKUP(B343,Sheet2!$A$1:$B$31,2,0)</f>
        <v>1</v>
      </c>
      <c r="B343" s="3" t="s">
        <v>8</v>
      </c>
      <c r="C343" s="3">
        <v>2011</v>
      </c>
      <c r="D343" s="3">
        <v>75001.9</v>
      </c>
      <c r="E343" s="3">
        <v>39660.5</v>
      </c>
      <c r="F343" s="3">
        <f ca="1" t="shared" si="10"/>
        <v>114662.4</v>
      </c>
      <c r="G343" s="3">
        <v>17188.8</v>
      </c>
      <c r="H343" s="3">
        <f ca="1" t="shared" si="11"/>
        <v>6.67076235688355</v>
      </c>
    </row>
    <row r="344" hidden="1" spans="1:8">
      <c r="A344" s="3">
        <f>VLOOKUP(B344,Sheet2!$A$1:$B$31,2,0)</f>
        <v>2</v>
      </c>
      <c r="B344" s="3" t="s">
        <v>9</v>
      </c>
      <c r="C344" s="3">
        <v>2011</v>
      </c>
      <c r="D344" s="3">
        <v>17586.9</v>
      </c>
      <c r="E344" s="3">
        <v>15924.7</v>
      </c>
      <c r="F344" s="3">
        <f ca="1" t="shared" si="10"/>
        <v>33511.6</v>
      </c>
      <c r="G344" s="3">
        <v>8112.5</v>
      </c>
      <c r="H344" s="3">
        <f ca="1" t="shared" si="11"/>
        <v>4.13085978428351</v>
      </c>
    </row>
    <row r="345" spans="1:8">
      <c r="A345" s="3">
        <f>VLOOKUP(B345,Sheet2!$A$1:$B$31,2,0)</f>
        <v>3</v>
      </c>
      <c r="B345" s="3" t="s">
        <v>10</v>
      </c>
      <c r="C345" s="3">
        <v>2011</v>
      </c>
      <c r="D345" s="3">
        <v>29563.8</v>
      </c>
      <c r="E345" s="3">
        <v>18144</v>
      </c>
      <c r="F345" s="3">
        <f ca="1" t="shared" si="10"/>
        <v>47707.8</v>
      </c>
      <c r="G345" s="3">
        <v>21384.7</v>
      </c>
      <c r="H345" s="3">
        <f ca="1" t="shared" si="11"/>
        <v>2.23093146034314</v>
      </c>
    </row>
    <row r="346" hidden="1" spans="1:8">
      <c r="A346" s="3">
        <f>VLOOKUP(B346,Sheet2!$A$1:$B$31,2,0)</f>
        <v>4</v>
      </c>
      <c r="B346" s="3" t="s">
        <v>11</v>
      </c>
      <c r="C346" s="3">
        <v>2011</v>
      </c>
      <c r="D346" s="3">
        <v>20920.4</v>
      </c>
      <c r="E346" s="3">
        <v>11169.3</v>
      </c>
      <c r="F346" s="3">
        <f ca="1" t="shared" si="10"/>
        <v>32089.7</v>
      </c>
      <c r="G346" s="3">
        <v>10894.4</v>
      </c>
      <c r="H346" s="3">
        <f ca="1" t="shared" si="11"/>
        <v>2.94552247025995</v>
      </c>
    </row>
    <row r="347" hidden="1" spans="1:8">
      <c r="A347" s="3">
        <f>VLOOKUP(B347,Sheet2!$A$1:$B$31,2,0)</f>
        <v>5</v>
      </c>
      <c r="B347" s="3" t="s">
        <v>12</v>
      </c>
      <c r="C347" s="3">
        <v>2011</v>
      </c>
      <c r="D347" s="3">
        <v>12063.7</v>
      </c>
      <c r="E347" s="3">
        <v>9727.7</v>
      </c>
      <c r="F347" s="3">
        <f ca="1" t="shared" si="10"/>
        <v>21791.4</v>
      </c>
      <c r="G347" s="3">
        <v>9458.12</v>
      </c>
      <c r="H347" s="3">
        <f ca="1" t="shared" si="11"/>
        <v>2.3039885304902</v>
      </c>
    </row>
    <row r="348" hidden="1" spans="1:8">
      <c r="A348" s="3">
        <f>VLOOKUP(B348,Sheet2!$A$1:$B$31,2,0)</f>
        <v>6</v>
      </c>
      <c r="B348" s="3" t="s">
        <v>13</v>
      </c>
      <c r="C348" s="3">
        <v>2011</v>
      </c>
      <c r="D348" s="3">
        <v>30832.4</v>
      </c>
      <c r="E348" s="3">
        <v>22831.7</v>
      </c>
      <c r="F348" s="3">
        <f ca="1" t="shared" si="10"/>
        <v>53664.1</v>
      </c>
      <c r="G348" s="3">
        <v>16354.9</v>
      </c>
      <c r="H348" s="3">
        <f ca="1" t="shared" si="11"/>
        <v>3.28122458712679</v>
      </c>
    </row>
    <row r="349" hidden="1" spans="1:8">
      <c r="A349" s="3">
        <f>VLOOKUP(B349,Sheet2!$A$1:$B$31,2,0)</f>
        <v>7</v>
      </c>
      <c r="B349" s="3" t="s">
        <v>14</v>
      </c>
      <c r="C349" s="3">
        <v>2011</v>
      </c>
      <c r="D349" s="3">
        <v>10874.2</v>
      </c>
      <c r="E349" s="3">
        <v>8126.17</v>
      </c>
      <c r="F349" s="3">
        <f ca="1" t="shared" si="10"/>
        <v>19000.37</v>
      </c>
      <c r="G349" s="3">
        <v>7734.64</v>
      </c>
      <c r="H349" s="3">
        <f ca="1" t="shared" si="11"/>
        <v>2.45652932780323</v>
      </c>
    </row>
    <row r="350" hidden="1" spans="1:8">
      <c r="A350" s="3">
        <f>VLOOKUP(B350,Sheet2!$A$1:$B$31,2,0)</f>
        <v>8</v>
      </c>
      <c r="B350" s="3" t="s">
        <v>15</v>
      </c>
      <c r="C350" s="3">
        <v>2011</v>
      </c>
      <c r="D350" s="3">
        <v>14328.4</v>
      </c>
      <c r="E350" s="3">
        <v>8548.7</v>
      </c>
      <c r="F350" s="3">
        <f ca="1" t="shared" si="10"/>
        <v>22877.1</v>
      </c>
      <c r="G350" s="3">
        <v>9935</v>
      </c>
      <c r="H350" s="3">
        <f ca="1" t="shared" si="11"/>
        <v>2.30267740312028</v>
      </c>
    </row>
    <row r="351" hidden="1" spans="1:8">
      <c r="A351" s="3">
        <f>VLOOKUP(B351,Sheet2!$A$1:$B$31,2,0)</f>
        <v>9</v>
      </c>
      <c r="B351" s="3" t="s">
        <v>16</v>
      </c>
      <c r="C351" s="3">
        <v>2011</v>
      </c>
      <c r="D351" s="3">
        <v>56186.5</v>
      </c>
      <c r="E351" s="3">
        <v>37196.8</v>
      </c>
      <c r="F351" s="3">
        <f ca="1" t="shared" si="10"/>
        <v>93383.3</v>
      </c>
      <c r="G351" s="3">
        <v>20009.7</v>
      </c>
      <c r="H351" s="3">
        <f ca="1" t="shared" si="11"/>
        <v>4.66690155274692</v>
      </c>
    </row>
    <row r="352" hidden="1" spans="1:8">
      <c r="A352" s="3">
        <f>VLOOKUP(B352,Sheet2!$A$1:$B$31,2,0)</f>
        <v>10</v>
      </c>
      <c r="B352" s="3" t="s">
        <v>17</v>
      </c>
      <c r="C352" s="3">
        <v>2011</v>
      </c>
      <c r="D352" s="3">
        <v>65723.6</v>
      </c>
      <c r="E352" s="3">
        <v>47868.3</v>
      </c>
      <c r="F352" s="3">
        <f ca="1" t="shared" si="10"/>
        <v>113591.9</v>
      </c>
      <c r="G352" s="3">
        <v>48839.2</v>
      </c>
      <c r="H352" s="3">
        <f ca="1" t="shared" si="11"/>
        <v>2.32583457550492</v>
      </c>
    </row>
    <row r="353" hidden="1" spans="1:8">
      <c r="A353" s="3">
        <f>VLOOKUP(B353,Sheet2!$A$1:$B$31,2,0)</f>
        <v>11</v>
      </c>
      <c r="B353" s="3" t="s">
        <v>18</v>
      </c>
      <c r="C353" s="3">
        <v>2011</v>
      </c>
      <c r="D353" s="3">
        <v>60893.1</v>
      </c>
      <c r="E353" s="3">
        <v>53239.3</v>
      </c>
      <c r="F353" s="3">
        <f ca="1" t="shared" si="10"/>
        <v>114132.4</v>
      </c>
      <c r="G353" s="3">
        <v>31854.8</v>
      </c>
      <c r="H353" s="3">
        <f ca="1" t="shared" si="11"/>
        <v>3.58289488554315</v>
      </c>
    </row>
    <row r="354" hidden="1" spans="1:8">
      <c r="A354" s="3">
        <f>VLOOKUP(B354,Sheet2!$A$1:$B$31,2,0)</f>
        <v>12</v>
      </c>
      <c r="B354" s="3" t="s">
        <v>19</v>
      </c>
      <c r="C354" s="3">
        <v>2011</v>
      </c>
      <c r="D354" s="3">
        <v>19547.3</v>
      </c>
      <c r="E354" s="3">
        <v>14146.4</v>
      </c>
      <c r="F354" s="3">
        <f ca="1" t="shared" si="10"/>
        <v>33693.7</v>
      </c>
      <c r="G354" s="3">
        <v>16284.9</v>
      </c>
      <c r="H354" s="3">
        <f ca="1" t="shared" si="11"/>
        <v>2.06901485425148</v>
      </c>
    </row>
    <row r="355" hidden="1" spans="1:8">
      <c r="A355" s="3">
        <f>VLOOKUP(B355,Sheet2!$A$1:$B$31,2,0)</f>
        <v>13</v>
      </c>
      <c r="B355" s="3" t="s">
        <v>20</v>
      </c>
      <c r="C355" s="3">
        <v>2011</v>
      </c>
      <c r="D355" s="3">
        <v>21055.5</v>
      </c>
      <c r="E355" s="3">
        <v>18165.2</v>
      </c>
      <c r="F355" s="3">
        <f ca="1" t="shared" si="10"/>
        <v>39220.7</v>
      </c>
      <c r="G355" s="3">
        <v>17917.7</v>
      </c>
      <c r="H355" s="3">
        <f ca="1" t="shared" si="11"/>
        <v>2.18893607996562</v>
      </c>
    </row>
    <row r="356" hidden="1" spans="1:8">
      <c r="A356" s="3">
        <f>VLOOKUP(B356,Sheet2!$A$1:$B$31,2,0)</f>
        <v>14</v>
      </c>
      <c r="B356" s="3" t="s">
        <v>21</v>
      </c>
      <c r="C356" s="3">
        <v>2011</v>
      </c>
      <c r="D356" s="3">
        <v>14322</v>
      </c>
      <c r="E356" s="3">
        <v>9301.95</v>
      </c>
      <c r="F356" s="3">
        <f ca="1" t="shared" si="10"/>
        <v>23623.95</v>
      </c>
      <c r="G356" s="3">
        <v>11584.5</v>
      </c>
      <c r="H356" s="3">
        <f ca="1" t="shared" si="11"/>
        <v>2.039272303509</v>
      </c>
    </row>
    <row r="357" hidden="1" spans="1:8">
      <c r="A357" s="3">
        <f>VLOOKUP(B357,Sheet2!$A$1:$B$31,2,0)</f>
        <v>15</v>
      </c>
      <c r="B357" s="3" t="s">
        <v>22</v>
      </c>
      <c r="C357" s="3">
        <v>2011</v>
      </c>
      <c r="D357" s="3">
        <v>46345.4</v>
      </c>
      <c r="E357" s="3">
        <v>35179</v>
      </c>
      <c r="F357" s="3">
        <f ca="1" t="shared" si="10"/>
        <v>81524.4</v>
      </c>
      <c r="G357" s="3">
        <v>39064.9</v>
      </c>
      <c r="H357" s="3">
        <f ca="1" t="shared" si="11"/>
        <v>2.08689642108389</v>
      </c>
    </row>
    <row r="358" hidden="1" spans="1:8">
      <c r="A358" s="3">
        <f>VLOOKUP(B358,Sheet2!$A$1:$B$31,2,0)</f>
        <v>16</v>
      </c>
      <c r="B358" s="3" t="s">
        <v>23</v>
      </c>
      <c r="C358" s="3">
        <v>2011</v>
      </c>
      <c r="D358" s="3">
        <v>26646.2</v>
      </c>
      <c r="E358" s="3">
        <v>17506.2</v>
      </c>
      <c r="F358" s="3">
        <f ca="1" t="shared" si="10"/>
        <v>44152.4</v>
      </c>
      <c r="G358" s="3">
        <v>26318.7</v>
      </c>
      <c r="H358" s="3">
        <f ca="1" t="shared" si="11"/>
        <v>1.67760565681436</v>
      </c>
    </row>
    <row r="359" hidden="1" spans="1:8">
      <c r="A359" s="3">
        <f>VLOOKUP(B359,Sheet2!$A$1:$B$31,2,0)</f>
        <v>17</v>
      </c>
      <c r="B359" s="3" t="s">
        <v>24</v>
      </c>
      <c r="C359" s="3">
        <v>2011</v>
      </c>
      <c r="D359" s="3">
        <v>23949.2</v>
      </c>
      <c r="E359" s="3">
        <v>15662.5</v>
      </c>
      <c r="F359" s="3">
        <f ca="1" t="shared" si="10"/>
        <v>39611.7</v>
      </c>
      <c r="G359" s="3">
        <v>19942.4</v>
      </c>
      <c r="H359" s="3">
        <f ca="1" t="shared" si="11"/>
        <v>1.98630556001284</v>
      </c>
    </row>
    <row r="360" hidden="1" spans="1:8">
      <c r="A360" s="3">
        <f>VLOOKUP(B360,Sheet2!$A$1:$B$31,2,0)</f>
        <v>18</v>
      </c>
      <c r="B360" s="3" t="s">
        <v>25</v>
      </c>
      <c r="C360" s="3">
        <v>2011</v>
      </c>
      <c r="D360" s="3">
        <v>19444.1</v>
      </c>
      <c r="E360" s="3">
        <v>13462.5</v>
      </c>
      <c r="F360" s="3">
        <f ca="1" t="shared" si="10"/>
        <v>32906.6</v>
      </c>
      <c r="G360" s="3">
        <v>18915</v>
      </c>
      <c r="H360" s="3">
        <f ca="1" t="shared" si="11"/>
        <v>1.73970922548242</v>
      </c>
    </row>
    <row r="361" hidden="1" spans="1:8">
      <c r="A361" s="3">
        <f>VLOOKUP(B361,Sheet2!$A$1:$B$31,2,0)</f>
        <v>19</v>
      </c>
      <c r="B361" s="3" t="s">
        <v>26</v>
      </c>
      <c r="C361" s="3">
        <v>2011</v>
      </c>
      <c r="D361" s="3">
        <v>91590.1</v>
      </c>
      <c r="E361" s="3">
        <v>89168.6</v>
      </c>
      <c r="F361" s="3">
        <f ca="1" t="shared" si="10"/>
        <v>180758.7</v>
      </c>
      <c r="G361" s="3">
        <v>53072.8</v>
      </c>
      <c r="H361" s="3">
        <f ca="1" t="shared" si="11"/>
        <v>3.40586326705959</v>
      </c>
    </row>
    <row r="362" hidden="1" spans="1:8">
      <c r="A362" s="3">
        <f>VLOOKUP(B362,Sheet2!$A$1:$B$31,2,0)</f>
        <v>20</v>
      </c>
      <c r="B362" s="3" t="s">
        <v>27</v>
      </c>
      <c r="C362" s="3">
        <v>2011</v>
      </c>
      <c r="D362" s="3">
        <v>13528</v>
      </c>
      <c r="E362" s="3">
        <v>10646.4</v>
      </c>
      <c r="F362" s="3">
        <f ca="1" t="shared" si="10"/>
        <v>24174.4</v>
      </c>
      <c r="G362" s="3">
        <v>10299.9</v>
      </c>
      <c r="H362" s="3">
        <f ca="1" t="shared" si="11"/>
        <v>2.34705191312537</v>
      </c>
    </row>
    <row r="363" hidden="1" spans="1:8">
      <c r="A363" s="3">
        <f>VLOOKUP(B363,Sheet2!$A$1:$B$31,2,0)</f>
        <v>21</v>
      </c>
      <c r="B363" s="3" t="s">
        <v>28</v>
      </c>
      <c r="C363" s="3">
        <v>2011</v>
      </c>
      <c r="D363" s="3">
        <v>4510.03</v>
      </c>
      <c r="E363" s="3">
        <v>3194.96</v>
      </c>
      <c r="F363" s="3">
        <f ca="1" t="shared" si="10"/>
        <v>7704.99</v>
      </c>
      <c r="G363" s="3">
        <v>2463.84</v>
      </c>
      <c r="H363" s="3">
        <f ca="1" t="shared" si="11"/>
        <v>3.12722822910579</v>
      </c>
    </row>
    <row r="364" hidden="1" spans="1:8">
      <c r="A364" s="3">
        <f>VLOOKUP(B364,Sheet2!$A$1:$B$31,2,0)</f>
        <v>22</v>
      </c>
      <c r="B364" s="3" t="s">
        <v>29</v>
      </c>
      <c r="C364" s="3">
        <v>2011</v>
      </c>
      <c r="D364" s="3">
        <v>16128.9</v>
      </c>
      <c r="E364" s="3">
        <v>13195.2</v>
      </c>
      <c r="F364" s="3">
        <f ca="1" t="shared" si="10"/>
        <v>29324.1</v>
      </c>
      <c r="G364" s="3">
        <v>10161.2</v>
      </c>
      <c r="H364" s="3">
        <f ca="1" t="shared" si="11"/>
        <v>2.88588946187458</v>
      </c>
    </row>
    <row r="365" hidden="1" spans="1:8">
      <c r="A365" s="3">
        <f>VLOOKUP(B365,Sheet2!$A$1:$B$31,2,0)</f>
        <v>23</v>
      </c>
      <c r="B365" s="3" t="s">
        <v>30</v>
      </c>
      <c r="C365" s="3">
        <v>2011</v>
      </c>
      <c r="D365" s="3">
        <v>34971.2</v>
      </c>
      <c r="E365" s="3">
        <v>22514.2</v>
      </c>
      <c r="F365" s="3">
        <f ca="1" t="shared" si="10"/>
        <v>57485.4</v>
      </c>
      <c r="G365" s="3">
        <v>21050.9</v>
      </c>
      <c r="H365" s="3">
        <f ca="1" t="shared" si="11"/>
        <v>2.73078110674603</v>
      </c>
    </row>
    <row r="366" hidden="1" spans="1:8">
      <c r="A366" s="3">
        <f>VLOOKUP(B366,Sheet2!$A$1:$B$31,2,0)</f>
        <v>24</v>
      </c>
      <c r="B366" s="3" t="s">
        <v>31</v>
      </c>
      <c r="C366" s="3">
        <v>2011</v>
      </c>
      <c r="D366" s="3">
        <v>9742.79</v>
      </c>
      <c r="E366" s="3">
        <v>6841.92</v>
      </c>
      <c r="F366" s="3">
        <f ca="1" t="shared" si="10"/>
        <v>16584.71</v>
      </c>
      <c r="G366" s="3">
        <v>5615.55</v>
      </c>
      <c r="H366" s="3">
        <f ca="1" t="shared" si="11"/>
        <v>2.95335452449003</v>
      </c>
    </row>
    <row r="367" hidden="1" spans="1:8">
      <c r="A367" s="3">
        <f>VLOOKUP(B367,Sheet2!$A$1:$B$31,2,0)</f>
        <v>25</v>
      </c>
      <c r="B367" s="3" t="s">
        <v>32</v>
      </c>
      <c r="C367" s="3">
        <v>2011</v>
      </c>
      <c r="D367" s="3">
        <v>15416.7</v>
      </c>
      <c r="E367" s="3">
        <v>12114.6</v>
      </c>
      <c r="F367" s="3">
        <f ca="1" t="shared" si="10"/>
        <v>27531.3</v>
      </c>
      <c r="G367" s="3">
        <v>9523.13</v>
      </c>
      <c r="H367" s="3">
        <f ca="1" t="shared" si="11"/>
        <v>2.89099277233431</v>
      </c>
    </row>
    <row r="368" hidden="1" spans="1:8">
      <c r="A368" s="3">
        <f>VLOOKUP(B368,Sheet2!$A$1:$B$31,2,0)</f>
        <v>26</v>
      </c>
      <c r="B368" s="3" t="s">
        <v>33</v>
      </c>
      <c r="C368" s="3">
        <v>2011</v>
      </c>
      <c r="D368" s="3">
        <v>1661.24</v>
      </c>
      <c r="E368" s="3">
        <v>408.75</v>
      </c>
      <c r="F368" s="3">
        <f ca="1" t="shared" si="10"/>
        <v>2069.99</v>
      </c>
      <c r="G368" s="3">
        <v>611.52</v>
      </c>
      <c r="H368" s="3">
        <f ca="1" t="shared" si="11"/>
        <v>3.38499149659864</v>
      </c>
    </row>
    <row r="369" hidden="1" spans="1:8">
      <c r="A369" s="3">
        <f>VLOOKUP(B369,Sheet2!$A$1:$B$31,2,0)</f>
        <v>27</v>
      </c>
      <c r="B369" s="3" t="s">
        <v>34</v>
      </c>
      <c r="C369" s="3">
        <v>2011</v>
      </c>
      <c r="D369" s="3">
        <v>19227.1</v>
      </c>
      <c r="E369" s="3">
        <v>11865.3</v>
      </c>
      <c r="F369" s="3">
        <f ca="1" t="shared" si="10"/>
        <v>31092.4</v>
      </c>
      <c r="G369" s="3">
        <v>12175.1</v>
      </c>
      <c r="H369" s="3">
        <f ca="1" t="shared" si="11"/>
        <v>2.55376957889463</v>
      </c>
    </row>
    <row r="370" hidden="1" spans="1:8">
      <c r="A370" s="3">
        <f>VLOOKUP(B370,Sheet2!$A$1:$B$31,2,0)</f>
        <v>28</v>
      </c>
      <c r="B370" s="3" t="s">
        <v>35</v>
      </c>
      <c r="C370" s="3">
        <v>2011</v>
      </c>
      <c r="D370" s="3">
        <v>8460.94</v>
      </c>
      <c r="E370" s="3">
        <v>5736.2</v>
      </c>
      <c r="F370" s="3">
        <f ca="1" t="shared" si="10"/>
        <v>14197.14</v>
      </c>
      <c r="G370" s="3">
        <v>4816.94</v>
      </c>
      <c r="H370" s="3">
        <f ca="1" t="shared" si="11"/>
        <v>2.94733586052556</v>
      </c>
    </row>
    <row r="371" hidden="1" spans="1:8">
      <c r="A371" s="3">
        <f>VLOOKUP(B371,Sheet2!$A$1:$B$31,2,0)</f>
        <v>29</v>
      </c>
      <c r="B371" s="3" t="s">
        <v>36</v>
      </c>
      <c r="C371" s="3">
        <v>2011</v>
      </c>
      <c r="D371" s="3">
        <v>2825.83</v>
      </c>
      <c r="E371" s="3">
        <v>2231.52</v>
      </c>
      <c r="F371" s="3">
        <f ca="1" t="shared" si="10"/>
        <v>5057.35</v>
      </c>
      <c r="G371" s="3">
        <v>1370.4</v>
      </c>
      <c r="H371" s="3">
        <f ca="1" t="shared" si="11"/>
        <v>3.69041885580852</v>
      </c>
    </row>
    <row r="372" hidden="1" spans="1:8">
      <c r="A372" s="3">
        <f>VLOOKUP(B372,Sheet2!$A$1:$B$31,2,0)</f>
        <v>30</v>
      </c>
      <c r="B372" s="3" t="s">
        <v>37</v>
      </c>
      <c r="C372" s="3">
        <v>2011</v>
      </c>
      <c r="D372" s="3">
        <v>2966.86</v>
      </c>
      <c r="E372" s="3">
        <v>2860.58</v>
      </c>
      <c r="F372" s="3">
        <f ca="1" t="shared" si="10"/>
        <v>5827.44</v>
      </c>
      <c r="G372" s="3">
        <v>1931.8</v>
      </c>
      <c r="H372" s="3">
        <f ca="1" t="shared" si="11"/>
        <v>3.01658556786417</v>
      </c>
    </row>
    <row r="373" hidden="1" spans="1:8">
      <c r="A373" s="3">
        <f>VLOOKUP(B373,Sheet2!$A$1:$B$31,2,0)</f>
        <v>31</v>
      </c>
      <c r="B373" s="3" t="s">
        <v>38</v>
      </c>
      <c r="C373" s="3">
        <v>2011</v>
      </c>
      <c r="D373" s="3">
        <v>10387</v>
      </c>
      <c r="E373" s="3">
        <v>6270.21</v>
      </c>
      <c r="F373" s="3">
        <f ca="1" t="shared" si="10"/>
        <v>16657.21</v>
      </c>
      <c r="G373" s="3">
        <v>6532</v>
      </c>
      <c r="H373" s="3">
        <f ca="1" t="shared" si="11"/>
        <v>2.55009338640539</v>
      </c>
    </row>
    <row r="374" hidden="1" spans="1:8">
      <c r="A374" s="3">
        <f>VLOOKUP(B374,Sheet2!$A$1:$B$31,2,0)</f>
        <v>1</v>
      </c>
      <c r="B374" s="3" t="s">
        <v>8</v>
      </c>
      <c r="C374" s="3">
        <v>2012</v>
      </c>
      <c r="D374" s="3">
        <v>84837.3</v>
      </c>
      <c r="E374" s="3">
        <v>43189.5</v>
      </c>
      <c r="F374" s="3">
        <f ca="1" t="shared" si="10"/>
        <v>128026.8</v>
      </c>
      <c r="G374" s="3">
        <v>19024.7</v>
      </c>
      <c r="H374" s="3">
        <f ca="1" t="shared" si="11"/>
        <v>6.72950427602012</v>
      </c>
    </row>
    <row r="375" hidden="1" spans="1:8">
      <c r="A375" s="3">
        <f>VLOOKUP(B375,Sheet2!$A$1:$B$31,2,0)</f>
        <v>2</v>
      </c>
      <c r="B375" s="3" t="s">
        <v>9</v>
      </c>
      <c r="C375" s="3">
        <v>2012</v>
      </c>
      <c r="D375" s="3">
        <v>20293.8</v>
      </c>
      <c r="E375" s="3">
        <v>18396.8</v>
      </c>
      <c r="F375" s="3">
        <f ca="1" t="shared" si="10"/>
        <v>38690.6</v>
      </c>
      <c r="G375" s="3">
        <v>9043</v>
      </c>
      <c r="H375" s="3">
        <f ca="1" t="shared" si="11"/>
        <v>4.27851376755501</v>
      </c>
    </row>
    <row r="376" spans="1:8">
      <c r="A376" s="3">
        <f>VLOOKUP(B376,Sheet2!$A$1:$B$31,2,0)</f>
        <v>3</v>
      </c>
      <c r="B376" s="3" t="s">
        <v>10</v>
      </c>
      <c r="C376" s="3">
        <v>2012</v>
      </c>
      <c r="D376" s="3">
        <v>34257.2</v>
      </c>
      <c r="E376" s="3">
        <v>21318</v>
      </c>
      <c r="F376" s="3">
        <f ca="1" t="shared" si="10"/>
        <v>55575.2</v>
      </c>
      <c r="G376" s="3">
        <v>23077.5</v>
      </c>
      <c r="H376" s="3">
        <f ca="1" t="shared" si="11"/>
        <v>2.40819846170512</v>
      </c>
    </row>
    <row r="377" hidden="1" spans="1:8">
      <c r="A377" s="3">
        <f>VLOOKUP(B377,Sheet2!$A$1:$B$31,2,0)</f>
        <v>4</v>
      </c>
      <c r="B377" s="3" t="s">
        <v>11</v>
      </c>
      <c r="C377" s="3">
        <v>2012</v>
      </c>
      <c r="D377" s="3">
        <v>24050.6</v>
      </c>
      <c r="E377" s="3">
        <v>13106.2</v>
      </c>
      <c r="F377" s="3">
        <f ca="1" t="shared" si="10"/>
        <v>37156.8</v>
      </c>
      <c r="G377" s="3">
        <v>11683.1</v>
      </c>
      <c r="H377" s="3">
        <f ca="1" t="shared" si="11"/>
        <v>3.18038876668008</v>
      </c>
    </row>
    <row r="378" hidden="1" spans="1:8">
      <c r="A378" s="3">
        <f>VLOOKUP(B378,Sheet2!$A$1:$B$31,2,0)</f>
        <v>5</v>
      </c>
      <c r="B378" s="3" t="s">
        <v>12</v>
      </c>
      <c r="C378" s="3">
        <v>2012</v>
      </c>
      <c r="D378" s="3">
        <v>13612.7</v>
      </c>
      <c r="E378" s="3">
        <v>11284.2</v>
      </c>
      <c r="F378" s="3">
        <f ca="1" t="shared" si="10"/>
        <v>24896.9</v>
      </c>
      <c r="G378" s="3">
        <v>10470.1</v>
      </c>
      <c r="H378" s="3">
        <f ca="1" t="shared" si="11"/>
        <v>2.37790470005062</v>
      </c>
    </row>
    <row r="379" hidden="1" spans="1:8">
      <c r="A379" s="3">
        <f>VLOOKUP(B379,Sheet2!$A$1:$B$31,2,0)</f>
        <v>6</v>
      </c>
      <c r="B379" s="3" t="s">
        <v>13</v>
      </c>
      <c r="C379" s="3">
        <v>2012</v>
      </c>
      <c r="D379" s="3">
        <v>35303.5</v>
      </c>
      <c r="E379" s="3">
        <v>26306.5</v>
      </c>
      <c r="F379" s="3">
        <f ca="1" t="shared" si="10"/>
        <v>61610</v>
      </c>
      <c r="G379" s="3">
        <v>17848.6</v>
      </c>
      <c r="H379" s="3">
        <f ca="1" t="shared" si="11"/>
        <v>3.45181134654819</v>
      </c>
    </row>
    <row r="380" hidden="1" spans="1:8">
      <c r="A380" s="3">
        <f>VLOOKUP(B380,Sheet2!$A$1:$B$31,2,0)</f>
        <v>7</v>
      </c>
      <c r="B380" s="3" t="s">
        <v>14</v>
      </c>
      <c r="C380" s="3">
        <v>2012</v>
      </c>
      <c r="D380" s="3">
        <v>12706.1</v>
      </c>
      <c r="E380" s="3">
        <v>9155.6</v>
      </c>
      <c r="F380" s="3">
        <f ca="1" t="shared" si="10"/>
        <v>21861.7</v>
      </c>
      <c r="G380" s="3">
        <v>8678.02</v>
      </c>
      <c r="H380" s="3">
        <f ca="1" t="shared" si="11"/>
        <v>2.51920368932084</v>
      </c>
    </row>
    <row r="381" hidden="1" spans="1:8">
      <c r="A381" s="3">
        <f>VLOOKUP(B381,Sheet2!$A$1:$B$31,2,0)</f>
        <v>8</v>
      </c>
      <c r="B381" s="3" t="s">
        <v>15</v>
      </c>
      <c r="C381" s="3">
        <v>2012</v>
      </c>
      <c r="D381" s="3">
        <v>16326.6</v>
      </c>
      <c r="E381" s="3">
        <v>9906.7</v>
      </c>
      <c r="F381" s="3">
        <f ca="1" t="shared" si="10"/>
        <v>26233.3</v>
      </c>
      <c r="G381" s="3">
        <v>11015.8</v>
      </c>
      <c r="H381" s="3">
        <f ca="1" t="shared" si="11"/>
        <v>2.38142486247027</v>
      </c>
    </row>
    <row r="382" hidden="1" spans="1:8">
      <c r="A382" s="3">
        <f>VLOOKUP(B382,Sheet2!$A$1:$B$31,2,0)</f>
        <v>9</v>
      </c>
      <c r="B382" s="3" t="s">
        <v>16</v>
      </c>
      <c r="C382" s="3">
        <v>2012</v>
      </c>
      <c r="D382" s="3">
        <v>63555.3</v>
      </c>
      <c r="E382" s="3">
        <v>40982.5</v>
      </c>
      <c r="F382" s="3">
        <f ca="1" t="shared" si="10"/>
        <v>104537.8</v>
      </c>
      <c r="G382" s="3">
        <v>21305.6</v>
      </c>
      <c r="H382" s="3">
        <f ca="1" t="shared" si="11"/>
        <v>4.90658793932112</v>
      </c>
    </row>
    <row r="383" hidden="1" spans="1:8">
      <c r="A383" s="3">
        <f>VLOOKUP(B383,Sheet2!$A$1:$B$31,2,0)</f>
        <v>10</v>
      </c>
      <c r="B383" s="3" t="s">
        <v>17</v>
      </c>
      <c r="C383" s="3">
        <v>2012</v>
      </c>
      <c r="D383" s="3">
        <v>75481.5</v>
      </c>
      <c r="E383" s="3">
        <v>54412.3</v>
      </c>
      <c r="F383" s="3">
        <f ca="1" t="shared" si="10"/>
        <v>129893.8</v>
      </c>
      <c r="G383" s="3">
        <v>53701.9</v>
      </c>
      <c r="H383" s="3">
        <f ca="1" t="shared" si="11"/>
        <v>2.4187933760258</v>
      </c>
    </row>
    <row r="384" hidden="1" spans="1:8">
      <c r="A384" s="3">
        <f>VLOOKUP(B384,Sheet2!$A$1:$B$31,2,0)</f>
        <v>11</v>
      </c>
      <c r="B384" s="3" t="s">
        <v>18</v>
      </c>
      <c r="C384" s="3">
        <v>2012</v>
      </c>
      <c r="D384" s="3">
        <v>66679.1</v>
      </c>
      <c r="E384" s="3">
        <v>59509.1</v>
      </c>
      <c r="F384" s="3">
        <f ca="1" t="shared" si="10"/>
        <v>126188.2</v>
      </c>
      <c r="G384" s="3">
        <v>34382.4</v>
      </c>
      <c r="H384" s="3">
        <f ca="1" t="shared" si="11"/>
        <v>3.67013937363302</v>
      </c>
    </row>
    <row r="385" hidden="1" spans="1:8">
      <c r="A385" s="3">
        <f>VLOOKUP(B385,Sheet2!$A$1:$B$31,2,0)</f>
        <v>12</v>
      </c>
      <c r="B385" s="3" t="s">
        <v>19</v>
      </c>
      <c r="C385" s="3">
        <v>2012</v>
      </c>
      <c r="D385" s="3">
        <v>23211.4</v>
      </c>
      <c r="E385" s="3">
        <v>16795.2</v>
      </c>
      <c r="F385" s="3">
        <f ca="1" t="shared" si="10"/>
        <v>40006.6</v>
      </c>
      <c r="G385" s="3">
        <v>18341.7</v>
      </c>
      <c r="H385" s="3">
        <f ca="1" t="shared" si="11"/>
        <v>2.181182769318</v>
      </c>
    </row>
    <row r="386" hidden="1" spans="1:8">
      <c r="A386" s="3">
        <f>VLOOKUP(B386,Sheet2!$A$1:$B$31,2,0)</f>
        <v>13</v>
      </c>
      <c r="B386" s="3" t="s">
        <v>20</v>
      </c>
      <c r="C386" s="3">
        <v>2012</v>
      </c>
      <c r="D386" s="3">
        <v>24283.7</v>
      </c>
      <c r="E386" s="3">
        <v>21209.8</v>
      </c>
      <c r="F386" s="3">
        <f ca="1" t="shared" ref="F386:F449" si="12">D386+E386</f>
        <v>45493.5</v>
      </c>
      <c r="G386" s="3">
        <v>20190.7</v>
      </c>
      <c r="H386" s="3">
        <f ca="1" t="shared" ref="H386:H449" si="13">F386/G386</f>
        <v>2.25319082547906</v>
      </c>
    </row>
    <row r="387" hidden="1" spans="1:8">
      <c r="A387" s="3">
        <f>VLOOKUP(B387,Sheet2!$A$1:$B$31,2,0)</f>
        <v>14</v>
      </c>
      <c r="B387" s="3" t="s">
        <v>21</v>
      </c>
      <c r="C387" s="3">
        <v>2012</v>
      </c>
      <c r="D387" s="3">
        <v>16839</v>
      </c>
      <c r="E387" s="3">
        <v>11080.2</v>
      </c>
      <c r="F387" s="3">
        <f ca="1" t="shared" si="12"/>
        <v>27919.2</v>
      </c>
      <c r="G387" s="3">
        <v>12807.7</v>
      </c>
      <c r="H387" s="3">
        <f ca="1" t="shared" si="13"/>
        <v>2.17987616824254</v>
      </c>
    </row>
    <row r="388" hidden="1" spans="1:8">
      <c r="A388" s="3">
        <f>VLOOKUP(B388,Sheet2!$A$1:$B$31,2,0)</f>
        <v>15</v>
      </c>
      <c r="B388" s="3" t="s">
        <v>22</v>
      </c>
      <c r="C388" s="3">
        <v>2012</v>
      </c>
      <c r="D388" s="3">
        <v>54301.5</v>
      </c>
      <c r="E388" s="3">
        <v>40021.5</v>
      </c>
      <c r="F388" s="3">
        <f ca="1" t="shared" si="12"/>
        <v>94323</v>
      </c>
      <c r="G388" s="3">
        <v>42957.3</v>
      </c>
      <c r="H388" s="3">
        <f ca="1" t="shared" si="13"/>
        <v>2.19573855898765</v>
      </c>
    </row>
    <row r="389" hidden="1" spans="1:8">
      <c r="A389" s="3">
        <f>VLOOKUP(B389,Sheet2!$A$1:$B$31,2,0)</f>
        <v>16</v>
      </c>
      <c r="B389" s="3" t="s">
        <v>23</v>
      </c>
      <c r="C389" s="3">
        <v>2012</v>
      </c>
      <c r="D389" s="3">
        <v>31648.5</v>
      </c>
      <c r="E389" s="3">
        <v>20031.4</v>
      </c>
      <c r="F389" s="3">
        <f ca="1" t="shared" si="12"/>
        <v>51679.9</v>
      </c>
      <c r="G389" s="3">
        <v>28961.9</v>
      </c>
      <c r="H389" s="3">
        <f ca="1" t="shared" si="13"/>
        <v>1.7844098626126</v>
      </c>
    </row>
    <row r="390" hidden="1" spans="1:8">
      <c r="A390" s="3">
        <f>VLOOKUP(B390,Sheet2!$A$1:$B$31,2,0)</f>
        <v>17</v>
      </c>
      <c r="B390" s="3" t="s">
        <v>24</v>
      </c>
      <c r="C390" s="3">
        <v>2012</v>
      </c>
      <c r="D390" s="3">
        <v>28006.4</v>
      </c>
      <c r="E390" s="3">
        <v>18004.5</v>
      </c>
      <c r="F390" s="3">
        <f ca="1" t="shared" si="12"/>
        <v>46010.9</v>
      </c>
      <c r="G390" s="3">
        <v>22590.9</v>
      </c>
      <c r="H390" s="3">
        <f ca="1" t="shared" si="13"/>
        <v>2.03670061839059</v>
      </c>
    </row>
    <row r="391" hidden="1" spans="1:8">
      <c r="A391" s="3">
        <f>VLOOKUP(B391,Sheet2!$A$1:$B$31,2,0)</f>
        <v>18</v>
      </c>
      <c r="B391" s="3" t="s">
        <v>25</v>
      </c>
      <c r="C391" s="3">
        <v>2012</v>
      </c>
      <c r="D391" s="3">
        <v>23147.2</v>
      </c>
      <c r="E391" s="3">
        <v>15648.6</v>
      </c>
      <c r="F391" s="3">
        <f ca="1" t="shared" si="12"/>
        <v>38795.8</v>
      </c>
      <c r="G391" s="3">
        <v>21207.2</v>
      </c>
      <c r="H391" s="3">
        <f ca="1" t="shared" si="13"/>
        <v>1.82936927081369</v>
      </c>
    </row>
    <row r="392" hidden="1" spans="1:8">
      <c r="A392" s="3">
        <f>VLOOKUP(B392,Sheet2!$A$1:$B$31,2,0)</f>
        <v>19</v>
      </c>
      <c r="B392" s="3" t="s">
        <v>26</v>
      </c>
      <c r="C392" s="3">
        <v>2012</v>
      </c>
      <c r="D392" s="3">
        <v>105100</v>
      </c>
      <c r="E392" s="3">
        <v>99934.6</v>
      </c>
      <c r="F392" s="3">
        <f ca="1" t="shared" si="12"/>
        <v>205034.6</v>
      </c>
      <c r="G392" s="3">
        <v>57007.7</v>
      </c>
      <c r="H392" s="3">
        <f ca="1" t="shared" si="13"/>
        <v>3.59661238744941</v>
      </c>
    </row>
    <row r="393" hidden="1" spans="1:8">
      <c r="A393" s="3">
        <f>VLOOKUP(B393,Sheet2!$A$1:$B$31,2,0)</f>
        <v>20</v>
      </c>
      <c r="B393" s="3" t="s">
        <v>27</v>
      </c>
      <c r="C393" s="3">
        <v>2012</v>
      </c>
      <c r="D393" s="3">
        <v>15966.7</v>
      </c>
      <c r="E393" s="3">
        <v>12355.5</v>
      </c>
      <c r="F393" s="3">
        <f ca="1" t="shared" si="12"/>
        <v>28322.2</v>
      </c>
      <c r="G393" s="3">
        <v>11303.5</v>
      </c>
      <c r="H393" s="3">
        <f ca="1" t="shared" si="13"/>
        <v>2.50561330561331</v>
      </c>
    </row>
    <row r="394" hidden="1" spans="1:8">
      <c r="A394" s="3">
        <f>VLOOKUP(B394,Sheet2!$A$1:$B$31,2,0)</f>
        <v>21</v>
      </c>
      <c r="B394" s="3" t="s">
        <v>28</v>
      </c>
      <c r="C394" s="3">
        <v>2012</v>
      </c>
      <c r="D394" s="3">
        <v>5109.7</v>
      </c>
      <c r="E394" s="3">
        <v>3889.63</v>
      </c>
      <c r="F394" s="3">
        <f ca="1" t="shared" si="12"/>
        <v>8999.33</v>
      </c>
      <c r="G394" s="3">
        <v>2789.38</v>
      </c>
      <c r="H394" s="3">
        <f ca="1" t="shared" si="13"/>
        <v>3.2262832600793</v>
      </c>
    </row>
    <row r="395" hidden="1" spans="1:8">
      <c r="A395" s="3">
        <f>VLOOKUP(B395,Sheet2!$A$1:$B$31,2,0)</f>
        <v>22</v>
      </c>
      <c r="B395" s="3" t="s">
        <v>29</v>
      </c>
      <c r="C395" s="3">
        <v>2012</v>
      </c>
      <c r="D395" s="3">
        <v>19423.9</v>
      </c>
      <c r="E395" s="3">
        <v>15594.2</v>
      </c>
      <c r="F395" s="3">
        <f ca="1" t="shared" si="12"/>
        <v>35018.1</v>
      </c>
      <c r="G395" s="3">
        <v>11595.4</v>
      </c>
      <c r="H395" s="3">
        <f ca="1" t="shared" si="13"/>
        <v>3.01999931007124</v>
      </c>
    </row>
    <row r="396" hidden="1" spans="1:8">
      <c r="A396" s="3">
        <f>VLOOKUP(B396,Sheet2!$A$1:$B$31,2,0)</f>
        <v>23</v>
      </c>
      <c r="B396" s="3" t="s">
        <v>30</v>
      </c>
      <c r="C396" s="3">
        <v>2012</v>
      </c>
      <c r="D396" s="3">
        <v>41576.8</v>
      </c>
      <c r="E396" s="3">
        <v>26163.3</v>
      </c>
      <c r="F396" s="3">
        <f ca="1" t="shared" si="12"/>
        <v>67740.1</v>
      </c>
      <c r="G396" s="3">
        <v>23922.4</v>
      </c>
      <c r="H396" s="3">
        <f ca="1" t="shared" si="13"/>
        <v>2.83165986690299</v>
      </c>
    </row>
    <row r="397" hidden="1" spans="1:8">
      <c r="A397" s="3">
        <f>VLOOKUP(B397,Sheet2!$A$1:$B$31,2,0)</f>
        <v>24</v>
      </c>
      <c r="B397" s="3" t="s">
        <v>31</v>
      </c>
      <c r="C397" s="3">
        <v>2012</v>
      </c>
      <c r="D397" s="3">
        <v>10540.1</v>
      </c>
      <c r="E397" s="3">
        <v>8274.78</v>
      </c>
      <c r="F397" s="3">
        <f ca="1" t="shared" si="12"/>
        <v>18814.88</v>
      </c>
      <c r="G397" s="3">
        <v>6742.24</v>
      </c>
      <c r="H397" s="3">
        <f ca="1" t="shared" si="13"/>
        <v>2.79059778352595</v>
      </c>
    </row>
    <row r="398" hidden="1" spans="1:8">
      <c r="A398" s="3">
        <f>VLOOKUP(B398,Sheet2!$A$1:$B$31,2,0)</f>
        <v>25</v>
      </c>
      <c r="B398" s="3" t="s">
        <v>32</v>
      </c>
      <c r="C398" s="3">
        <v>2012</v>
      </c>
      <c r="D398" s="3">
        <v>18008</v>
      </c>
      <c r="E398" s="3">
        <v>13848.1</v>
      </c>
      <c r="F398" s="3">
        <f ca="1" t="shared" si="12"/>
        <v>31856.1</v>
      </c>
      <c r="G398" s="3">
        <v>11097.4</v>
      </c>
      <c r="H398" s="3">
        <f ca="1" t="shared" si="13"/>
        <v>2.87059130967614</v>
      </c>
    </row>
    <row r="399" hidden="1" spans="1:8">
      <c r="A399" s="3">
        <f>VLOOKUP(B399,Sheet2!$A$1:$B$31,2,0)</f>
        <v>26</v>
      </c>
      <c r="B399" s="3" t="s">
        <v>33</v>
      </c>
      <c r="C399" s="3">
        <v>2012</v>
      </c>
      <c r="D399" s="3">
        <v>2050.58</v>
      </c>
      <c r="E399" s="3">
        <v>663.76</v>
      </c>
      <c r="F399" s="3">
        <f ca="1" t="shared" si="12"/>
        <v>2714.34</v>
      </c>
      <c r="G399" s="3">
        <v>710.16</v>
      </c>
      <c r="H399" s="3">
        <f ca="1" t="shared" si="13"/>
        <v>3.82215275430889</v>
      </c>
    </row>
    <row r="400" hidden="1" spans="1:8">
      <c r="A400" s="3">
        <f>VLOOKUP(B400,Sheet2!$A$1:$B$31,2,0)</f>
        <v>27</v>
      </c>
      <c r="B400" s="3" t="s">
        <v>34</v>
      </c>
      <c r="C400" s="3">
        <v>2012</v>
      </c>
      <c r="D400" s="3">
        <v>22657.7</v>
      </c>
      <c r="E400" s="3">
        <v>13865.6</v>
      </c>
      <c r="F400" s="3">
        <f ca="1" t="shared" si="12"/>
        <v>36523.3</v>
      </c>
      <c r="G400" s="3">
        <v>14142.4</v>
      </c>
      <c r="H400" s="3">
        <f ca="1" t="shared" si="13"/>
        <v>2.58253903156466</v>
      </c>
    </row>
    <row r="401" hidden="1" spans="1:8">
      <c r="A401" s="3">
        <f>VLOOKUP(B401,Sheet2!$A$1:$B$31,2,0)</f>
        <v>28</v>
      </c>
      <c r="B401" s="3" t="s">
        <v>35</v>
      </c>
      <c r="C401" s="3">
        <v>2012</v>
      </c>
      <c r="D401" s="3">
        <v>10129.7</v>
      </c>
      <c r="E401" s="3">
        <v>7196.6</v>
      </c>
      <c r="F401" s="3">
        <f ca="1" t="shared" si="12"/>
        <v>17326.3</v>
      </c>
      <c r="G401" s="3">
        <v>5393.12</v>
      </c>
      <c r="H401" s="3">
        <f ca="1" t="shared" si="13"/>
        <v>3.21266725012609</v>
      </c>
    </row>
    <row r="402" hidden="1" spans="1:8">
      <c r="A402" s="3">
        <f>VLOOKUP(B402,Sheet2!$A$1:$B$31,2,0)</f>
        <v>29</v>
      </c>
      <c r="B402" s="3" t="s">
        <v>36</v>
      </c>
      <c r="C402" s="3">
        <v>2012</v>
      </c>
      <c r="D402" s="3">
        <v>3528.41</v>
      </c>
      <c r="E402" s="3">
        <v>2791.68</v>
      </c>
      <c r="F402" s="3">
        <f ca="1" t="shared" si="12"/>
        <v>6320.09</v>
      </c>
      <c r="G402" s="3">
        <v>1528.48</v>
      </c>
      <c r="H402" s="3">
        <f ca="1" t="shared" si="13"/>
        <v>4.13488563801947</v>
      </c>
    </row>
    <row r="403" hidden="1" spans="1:8">
      <c r="A403" s="3">
        <f>VLOOKUP(B403,Sheet2!$A$1:$B$31,2,0)</f>
        <v>30</v>
      </c>
      <c r="B403" s="3" t="s">
        <v>37</v>
      </c>
      <c r="C403" s="3">
        <v>2012</v>
      </c>
      <c r="D403" s="3">
        <v>3495.41</v>
      </c>
      <c r="E403" s="3">
        <v>3339.58</v>
      </c>
      <c r="F403" s="3">
        <f ca="1" t="shared" si="12"/>
        <v>6834.99</v>
      </c>
      <c r="G403" s="3">
        <v>2131</v>
      </c>
      <c r="H403" s="3">
        <f ca="1" t="shared" si="13"/>
        <v>3.20740966682309</v>
      </c>
    </row>
    <row r="404" hidden="1" spans="1:8">
      <c r="A404" s="3">
        <f>VLOOKUP(B404,Sheet2!$A$1:$B$31,2,0)</f>
        <v>31</v>
      </c>
      <c r="B404" s="3" t="s">
        <v>38</v>
      </c>
      <c r="C404" s="3">
        <v>2012</v>
      </c>
      <c r="D404" s="3">
        <v>12330.9</v>
      </c>
      <c r="E404" s="3">
        <v>7914</v>
      </c>
      <c r="F404" s="3">
        <f ca="1" t="shared" si="12"/>
        <v>20244.9</v>
      </c>
      <c r="G404" s="3">
        <v>7411.8</v>
      </c>
      <c r="H404" s="3">
        <f ca="1" t="shared" si="13"/>
        <v>2.73144175503926</v>
      </c>
    </row>
    <row r="405" hidden="1" spans="1:8">
      <c r="A405" s="3">
        <f>VLOOKUP(B405,Sheet2!$A$1:$B$31,2,0)</f>
        <v>1</v>
      </c>
      <c r="B405" s="3" t="s">
        <v>8</v>
      </c>
      <c r="C405" s="3">
        <v>2013</v>
      </c>
      <c r="D405" s="3">
        <v>91660.5</v>
      </c>
      <c r="E405" s="3">
        <v>47880.9</v>
      </c>
      <c r="F405" s="3">
        <f ca="1" t="shared" si="12"/>
        <v>139541.4</v>
      </c>
      <c r="G405" s="3">
        <v>21134.6</v>
      </c>
      <c r="H405" s="3">
        <f ca="1" t="shared" si="13"/>
        <v>6.60250962876042</v>
      </c>
    </row>
    <row r="406" hidden="1" spans="1:8">
      <c r="A406" s="3">
        <f>VLOOKUP(B406,Sheet2!$A$1:$B$31,2,0)</f>
        <v>2</v>
      </c>
      <c r="B406" s="3" t="s">
        <v>9</v>
      </c>
      <c r="C406" s="3">
        <v>2013</v>
      </c>
      <c r="D406" s="3">
        <v>23316.6</v>
      </c>
      <c r="E406" s="3">
        <v>20857.8</v>
      </c>
      <c r="F406" s="3">
        <f ca="1" t="shared" si="12"/>
        <v>44174.4</v>
      </c>
      <c r="G406" s="3">
        <v>9945.4</v>
      </c>
      <c r="H406" s="3">
        <f ca="1" t="shared" si="13"/>
        <v>4.44169163633439</v>
      </c>
    </row>
    <row r="407" spans="1:8">
      <c r="A407" s="3">
        <f>VLOOKUP(B407,Sheet2!$A$1:$B$31,2,0)</f>
        <v>3</v>
      </c>
      <c r="B407" s="3" t="s">
        <v>10</v>
      </c>
      <c r="C407" s="3">
        <v>2013</v>
      </c>
      <c r="D407" s="3">
        <v>39444.4</v>
      </c>
      <c r="E407" s="3">
        <v>24423.2</v>
      </c>
      <c r="F407" s="3">
        <f ca="1" t="shared" si="12"/>
        <v>63867.6</v>
      </c>
      <c r="G407" s="3">
        <v>24259.6</v>
      </c>
      <c r="H407" s="3">
        <f ca="1" t="shared" si="13"/>
        <v>2.63267325100167</v>
      </c>
    </row>
    <row r="408" hidden="1" spans="1:8">
      <c r="A408" s="3">
        <f>VLOOKUP(B408,Sheet2!$A$1:$B$31,2,0)</f>
        <v>4</v>
      </c>
      <c r="B408" s="3" t="s">
        <v>11</v>
      </c>
      <c r="C408" s="3">
        <v>2013</v>
      </c>
      <c r="D408" s="3">
        <v>26105.3</v>
      </c>
      <c r="E408" s="3">
        <v>14887.5</v>
      </c>
      <c r="F408" s="3">
        <f ca="1" t="shared" si="12"/>
        <v>40992.8</v>
      </c>
      <c r="G408" s="3">
        <v>11987.2</v>
      </c>
      <c r="H408" s="3">
        <f ca="1" t="shared" si="13"/>
        <v>3.41971436198612</v>
      </c>
    </row>
    <row r="409" hidden="1" spans="1:8">
      <c r="A409" s="3">
        <f>VLOOKUP(B409,Sheet2!$A$1:$B$31,2,0)</f>
        <v>5</v>
      </c>
      <c r="B409" s="3" t="s">
        <v>12</v>
      </c>
      <c r="C409" s="3">
        <v>2013</v>
      </c>
      <c r="D409" s="3">
        <v>15205.7</v>
      </c>
      <c r="E409" s="3">
        <v>12944.2</v>
      </c>
      <c r="F409" s="3">
        <f ca="1" t="shared" si="12"/>
        <v>28149.9</v>
      </c>
      <c r="G409" s="3">
        <v>11392.4</v>
      </c>
      <c r="H409" s="3">
        <f ca="1" t="shared" si="13"/>
        <v>2.47093676486078</v>
      </c>
    </row>
    <row r="410" hidden="1" spans="1:8">
      <c r="A410" s="3">
        <f>VLOOKUP(B410,Sheet2!$A$1:$B$31,2,0)</f>
        <v>6</v>
      </c>
      <c r="B410" s="3" t="s">
        <v>13</v>
      </c>
      <c r="C410" s="3">
        <v>2013</v>
      </c>
      <c r="D410" s="3">
        <v>39418</v>
      </c>
      <c r="E410" s="3">
        <v>29722</v>
      </c>
      <c r="F410" s="3">
        <f ca="1" t="shared" si="12"/>
        <v>69140</v>
      </c>
      <c r="G410" s="3">
        <v>19208.8</v>
      </c>
      <c r="H410" s="3">
        <f ca="1" t="shared" si="13"/>
        <v>3.59939194535838</v>
      </c>
    </row>
    <row r="411" hidden="1" spans="1:8">
      <c r="A411" s="3">
        <f>VLOOKUP(B411,Sheet2!$A$1:$B$31,2,0)</f>
        <v>7</v>
      </c>
      <c r="B411" s="3" t="s">
        <v>14</v>
      </c>
      <c r="C411" s="3">
        <v>2013</v>
      </c>
      <c r="D411" s="3">
        <v>14781.4</v>
      </c>
      <c r="E411" s="3">
        <v>10696.5</v>
      </c>
      <c r="F411" s="3">
        <f ca="1" t="shared" si="12"/>
        <v>25477.9</v>
      </c>
      <c r="G411" s="3">
        <v>9427.89</v>
      </c>
      <c r="H411" s="3">
        <f ca="1" t="shared" si="13"/>
        <v>2.70239682474021</v>
      </c>
    </row>
    <row r="412" hidden="1" spans="1:8">
      <c r="A412" s="3">
        <f>VLOOKUP(B412,Sheet2!$A$1:$B$31,2,0)</f>
        <v>8</v>
      </c>
      <c r="B412" s="3" t="s">
        <v>15</v>
      </c>
      <c r="C412" s="3">
        <v>2013</v>
      </c>
      <c r="D412" s="3">
        <v>18131.8</v>
      </c>
      <c r="E412" s="3">
        <v>11359.4</v>
      </c>
      <c r="F412" s="3">
        <f ca="1" t="shared" si="12"/>
        <v>29491.2</v>
      </c>
      <c r="G412" s="3">
        <v>11849.1</v>
      </c>
      <c r="H412" s="3">
        <f ca="1" t="shared" si="13"/>
        <v>2.48889789097906</v>
      </c>
    </row>
    <row r="413" hidden="1" spans="1:8">
      <c r="A413" s="3">
        <f>VLOOKUP(B413,Sheet2!$A$1:$B$31,2,0)</f>
        <v>9</v>
      </c>
      <c r="B413" s="3" t="s">
        <v>16</v>
      </c>
      <c r="C413" s="3">
        <v>2013</v>
      </c>
      <c r="D413" s="3">
        <v>69256.3</v>
      </c>
      <c r="E413" s="3">
        <v>44357.9</v>
      </c>
      <c r="F413" s="3">
        <f ca="1" t="shared" si="12"/>
        <v>113614.2</v>
      </c>
      <c r="G413" s="3">
        <v>23204.1</v>
      </c>
      <c r="H413" s="3">
        <f ca="1" t="shared" si="13"/>
        <v>4.89629849897217</v>
      </c>
    </row>
    <row r="414" hidden="1" spans="1:8">
      <c r="A414" s="3">
        <f>VLOOKUP(B414,Sheet2!$A$1:$B$31,2,0)</f>
        <v>10</v>
      </c>
      <c r="B414" s="3" t="s">
        <v>17</v>
      </c>
      <c r="C414" s="3">
        <v>2013</v>
      </c>
      <c r="D414" s="3">
        <v>85604.1</v>
      </c>
      <c r="E414" s="3">
        <v>61836.5</v>
      </c>
      <c r="F414" s="3">
        <f ca="1" t="shared" si="12"/>
        <v>147440.6</v>
      </c>
      <c r="G414" s="3">
        <v>59349.4</v>
      </c>
      <c r="H414" s="3">
        <f ca="1" t="shared" si="13"/>
        <v>2.48428122272508</v>
      </c>
    </row>
    <row r="415" hidden="1" spans="1:8">
      <c r="A415" s="3">
        <f>VLOOKUP(B415,Sheet2!$A$1:$B$31,2,0)</f>
        <v>11</v>
      </c>
      <c r="B415" s="3" t="s">
        <v>18</v>
      </c>
      <c r="C415" s="3">
        <v>2013</v>
      </c>
      <c r="D415" s="3">
        <v>73732.4</v>
      </c>
      <c r="E415" s="3">
        <v>65338.5</v>
      </c>
      <c r="F415" s="3">
        <f ca="1" t="shared" si="12"/>
        <v>139070.9</v>
      </c>
      <c r="G415" s="3">
        <v>37334.6</v>
      </c>
      <c r="H415" s="3">
        <f ca="1" t="shared" si="13"/>
        <v>3.72498700936932</v>
      </c>
    </row>
    <row r="416" hidden="1" spans="1:8">
      <c r="A416" s="3">
        <f>VLOOKUP(B416,Sheet2!$A$1:$B$31,2,0)</f>
        <v>12</v>
      </c>
      <c r="B416" s="3" t="s">
        <v>19</v>
      </c>
      <c r="C416" s="3">
        <v>2013</v>
      </c>
      <c r="D416" s="3">
        <v>26938.2</v>
      </c>
      <c r="E416" s="3">
        <v>19688.2</v>
      </c>
      <c r="F416" s="3">
        <f ca="1" t="shared" si="12"/>
        <v>46626.4</v>
      </c>
      <c r="G416" s="3">
        <v>20584</v>
      </c>
      <c r="H416" s="3">
        <f ca="1" t="shared" si="13"/>
        <v>2.26517683637777</v>
      </c>
    </row>
    <row r="417" hidden="1" spans="1:8">
      <c r="A417" s="3">
        <f>VLOOKUP(B417,Sheet2!$A$1:$B$31,2,0)</f>
        <v>13</v>
      </c>
      <c r="B417" s="3" t="s">
        <v>20</v>
      </c>
      <c r="C417" s="3">
        <v>2013</v>
      </c>
      <c r="D417" s="3">
        <v>28043.8</v>
      </c>
      <c r="E417" s="3">
        <v>24487.5</v>
      </c>
      <c r="F417" s="3">
        <f ca="1" t="shared" si="12"/>
        <v>52531.3</v>
      </c>
      <c r="G417" s="3">
        <v>22503.8</v>
      </c>
      <c r="H417" s="3">
        <f ca="1" t="shared" si="13"/>
        <v>2.33433020201033</v>
      </c>
    </row>
    <row r="418" hidden="1" spans="1:8">
      <c r="A418" s="3">
        <f>VLOOKUP(B418,Sheet2!$A$1:$B$31,2,0)</f>
        <v>14</v>
      </c>
      <c r="B418" s="3" t="s">
        <v>21</v>
      </c>
      <c r="C418" s="3">
        <v>2013</v>
      </c>
      <c r="D418" s="3">
        <v>19582.7</v>
      </c>
      <c r="E418" s="3">
        <v>13111.7</v>
      </c>
      <c r="F418" s="3">
        <f ca="1" t="shared" si="12"/>
        <v>32694.4</v>
      </c>
      <c r="G418" s="3">
        <v>14300.2</v>
      </c>
      <c r="H418" s="3">
        <f ca="1" t="shared" si="13"/>
        <v>2.28628970224193</v>
      </c>
    </row>
    <row r="419" hidden="1" spans="1:8">
      <c r="A419" s="3">
        <f>VLOOKUP(B419,Sheet2!$A$1:$B$31,2,0)</f>
        <v>15</v>
      </c>
      <c r="B419" s="3" t="s">
        <v>22</v>
      </c>
      <c r="C419" s="3">
        <v>2013</v>
      </c>
      <c r="D419" s="3">
        <v>62077.9</v>
      </c>
      <c r="E419" s="3">
        <v>44761.3</v>
      </c>
      <c r="F419" s="3">
        <f ca="1" t="shared" si="12"/>
        <v>106839.2</v>
      </c>
      <c r="G419" s="3">
        <v>47344.3</v>
      </c>
      <c r="H419" s="3">
        <f ca="1" t="shared" si="13"/>
        <v>2.2566433551663</v>
      </c>
    </row>
    <row r="420" hidden="1" spans="1:8">
      <c r="A420" s="3">
        <f>VLOOKUP(B420,Sheet2!$A$1:$B$31,2,0)</f>
        <v>16</v>
      </c>
      <c r="B420" s="3" t="s">
        <v>23</v>
      </c>
      <c r="C420" s="3">
        <v>2013</v>
      </c>
      <c r="D420" s="3">
        <v>37591.7</v>
      </c>
      <c r="E420" s="3">
        <v>23511.4</v>
      </c>
      <c r="F420" s="3">
        <f ca="1" t="shared" si="12"/>
        <v>61103.1</v>
      </c>
      <c r="G420" s="3">
        <v>31632.5</v>
      </c>
      <c r="H420" s="3">
        <f ca="1" t="shared" si="13"/>
        <v>1.93165573381807</v>
      </c>
    </row>
    <row r="421" hidden="1" spans="1:8">
      <c r="A421" s="3">
        <f>VLOOKUP(B421,Sheet2!$A$1:$B$31,2,0)</f>
        <v>17</v>
      </c>
      <c r="B421" s="3" t="s">
        <v>24</v>
      </c>
      <c r="C421" s="3">
        <v>2013</v>
      </c>
      <c r="D421" s="3">
        <v>32636.2</v>
      </c>
      <c r="E421" s="3">
        <v>20796.9</v>
      </c>
      <c r="F421" s="3">
        <f ca="1" t="shared" si="12"/>
        <v>53433.1</v>
      </c>
      <c r="G421" s="3">
        <v>25378</v>
      </c>
      <c r="H421" s="3">
        <f ca="1" t="shared" si="13"/>
        <v>2.10548900622586</v>
      </c>
    </row>
    <row r="422" hidden="1" spans="1:8">
      <c r="A422" s="3">
        <f>VLOOKUP(B422,Sheet2!$A$1:$B$31,2,0)</f>
        <v>18</v>
      </c>
      <c r="B422" s="3" t="s">
        <v>25</v>
      </c>
      <c r="C422" s="3">
        <v>2013</v>
      </c>
      <c r="D422" s="3">
        <v>26876</v>
      </c>
      <c r="E422" s="3">
        <v>18141.1</v>
      </c>
      <c r="F422" s="3">
        <f ca="1" t="shared" si="12"/>
        <v>45017.1</v>
      </c>
      <c r="G422" s="3">
        <v>23545.2</v>
      </c>
      <c r="H422" s="3">
        <f ca="1" t="shared" si="13"/>
        <v>1.91194383568625</v>
      </c>
    </row>
    <row r="423" hidden="1" spans="1:8">
      <c r="A423" s="3">
        <f>VLOOKUP(B423,Sheet2!$A$1:$B$31,2,0)</f>
        <v>19</v>
      </c>
      <c r="B423" s="3" t="s">
        <v>26</v>
      </c>
      <c r="C423" s="3">
        <v>2013</v>
      </c>
      <c r="D423" s="3">
        <v>119685</v>
      </c>
      <c r="E423" s="3">
        <v>114855</v>
      </c>
      <c r="F423" s="3">
        <f ca="1" t="shared" si="12"/>
        <v>234540</v>
      </c>
      <c r="G423" s="3">
        <v>62503.4</v>
      </c>
      <c r="H423" s="3">
        <f ca="1" t="shared" si="13"/>
        <v>3.75243586748881</v>
      </c>
    </row>
    <row r="424" hidden="1" spans="1:8">
      <c r="A424" s="3">
        <f>VLOOKUP(B424,Sheet2!$A$1:$B$31,2,0)</f>
        <v>20</v>
      </c>
      <c r="B424" s="3" t="s">
        <v>27</v>
      </c>
      <c r="C424" s="3">
        <v>2013</v>
      </c>
      <c r="D424" s="3">
        <v>18400.5</v>
      </c>
      <c r="E424" s="3">
        <v>14081</v>
      </c>
      <c r="F424" s="3">
        <f ca="1" t="shared" si="12"/>
        <v>32481.5</v>
      </c>
      <c r="G424" s="3">
        <v>12448.4</v>
      </c>
      <c r="H424" s="3">
        <f ca="1" t="shared" si="13"/>
        <v>2.60929115388323</v>
      </c>
    </row>
    <row r="425" hidden="1" spans="1:8">
      <c r="A425" s="3">
        <f>VLOOKUP(B425,Sheet2!$A$1:$B$31,2,0)</f>
        <v>21</v>
      </c>
      <c r="B425" s="3" t="s">
        <v>28</v>
      </c>
      <c r="C425" s="3">
        <v>2013</v>
      </c>
      <c r="D425" s="3">
        <v>5952.5</v>
      </c>
      <c r="E425" s="3">
        <v>4630.78</v>
      </c>
      <c r="F425" s="3">
        <f ca="1" t="shared" si="12"/>
        <v>10583.28</v>
      </c>
      <c r="G425" s="3">
        <v>3115.85</v>
      </c>
      <c r="H425" s="3">
        <f ca="1" t="shared" si="13"/>
        <v>3.39659482966125</v>
      </c>
    </row>
    <row r="426" hidden="1" spans="1:8">
      <c r="A426" s="3">
        <f>VLOOKUP(B426,Sheet2!$A$1:$B$31,2,0)</f>
        <v>22</v>
      </c>
      <c r="B426" s="3" t="s">
        <v>29</v>
      </c>
      <c r="C426" s="3">
        <v>2013</v>
      </c>
      <c r="D426" s="3">
        <v>22789.2</v>
      </c>
      <c r="E426" s="3">
        <v>18005.7</v>
      </c>
      <c r="F426" s="3">
        <f ca="1" t="shared" si="12"/>
        <v>40794.9</v>
      </c>
      <c r="G426" s="3">
        <v>13027.6</v>
      </c>
      <c r="H426" s="3">
        <f ca="1" t="shared" si="13"/>
        <v>3.13142098314348</v>
      </c>
    </row>
    <row r="427" hidden="1" spans="1:8">
      <c r="A427" s="3">
        <f>VLOOKUP(B427,Sheet2!$A$1:$B$31,2,0)</f>
        <v>23</v>
      </c>
      <c r="B427" s="3" t="s">
        <v>30</v>
      </c>
      <c r="C427" s="3">
        <v>2013</v>
      </c>
      <c r="D427" s="3">
        <v>48122.1</v>
      </c>
      <c r="E427" s="3">
        <v>30298.8</v>
      </c>
      <c r="F427" s="3">
        <f ca="1" t="shared" si="12"/>
        <v>78420.9</v>
      </c>
      <c r="G427" s="3">
        <v>26518</v>
      </c>
      <c r="H427" s="3">
        <f ca="1" t="shared" si="13"/>
        <v>2.95727053322272</v>
      </c>
    </row>
    <row r="428" hidden="1" spans="1:8">
      <c r="A428" s="3">
        <f>VLOOKUP(B428,Sheet2!$A$1:$B$31,2,0)</f>
        <v>24</v>
      </c>
      <c r="B428" s="3" t="s">
        <v>31</v>
      </c>
      <c r="C428" s="3">
        <v>2013</v>
      </c>
      <c r="D428" s="3">
        <v>13265</v>
      </c>
      <c r="E428" s="3">
        <v>10104.3</v>
      </c>
      <c r="F428" s="3">
        <f ca="1" t="shared" si="12"/>
        <v>23369.3</v>
      </c>
      <c r="G428" s="3">
        <v>7973.06</v>
      </c>
      <c r="H428" s="3">
        <f ca="1" t="shared" si="13"/>
        <v>2.93103275279504</v>
      </c>
    </row>
    <row r="429" hidden="1" spans="1:8">
      <c r="A429" s="3">
        <f>VLOOKUP(B429,Sheet2!$A$1:$B$31,2,0)</f>
        <v>25</v>
      </c>
      <c r="B429" s="3" t="s">
        <v>32</v>
      </c>
      <c r="C429" s="3">
        <v>2013</v>
      </c>
      <c r="D429" s="3">
        <v>20767.8</v>
      </c>
      <c r="E429" s="3">
        <v>15782.5</v>
      </c>
      <c r="F429" s="3">
        <f ca="1" t="shared" si="12"/>
        <v>36550.3</v>
      </c>
      <c r="G429" s="3">
        <v>12825.5</v>
      </c>
      <c r="H429" s="3">
        <f ca="1" t="shared" si="13"/>
        <v>2.84981482203423</v>
      </c>
    </row>
    <row r="430" hidden="1" spans="1:8">
      <c r="A430" s="3">
        <f>VLOOKUP(B430,Sheet2!$A$1:$B$31,2,0)</f>
        <v>26</v>
      </c>
      <c r="B430" s="3" t="s">
        <v>33</v>
      </c>
      <c r="C430" s="3">
        <v>2013</v>
      </c>
      <c r="D430" s="3">
        <v>2499.08</v>
      </c>
      <c r="E430" s="3">
        <v>1076.69</v>
      </c>
      <c r="F430" s="3">
        <f ca="1" t="shared" si="12"/>
        <v>3575.77</v>
      </c>
      <c r="G430" s="3">
        <v>828.2</v>
      </c>
      <c r="H430" s="3">
        <f ca="1" t="shared" si="13"/>
        <v>4.31751992272398</v>
      </c>
    </row>
    <row r="431" hidden="1" spans="1:8">
      <c r="A431" s="3">
        <f>VLOOKUP(B431,Sheet2!$A$1:$B$31,2,0)</f>
        <v>27</v>
      </c>
      <c r="B431" s="3" t="s">
        <v>34</v>
      </c>
      <c r="C431" s="3">
        <v>2013</v>
      </c>
      <c r="D431" s="3">
        <v>25577.2</v>
      </c>
      <c r="E431" s="3">
        <v>16219.8</v>
      </c>
      <c r="F431" s="3">
        <f ca="1" t="shared" si="12"/>
        <v>41797</v>
      </c>
      <c r="G431" s="3">
        <v>15905.3</v>
      </c>
      <c r="H431" s="3">
        <f ca="1" t="shared" si="13"/>
        <v>2.62786618297046</v>
      </c>
    </row>
    <row r="432" hidden="1" spans="1:8">
      <c r="A432" s="3">
        <f>VLOOKUP(B432,Sheet2!$A$1:$B$31,2,0)</f>
        <v>28</v>
      </c>
      <c r="B432" s="3" t="s">
        <v>35</v>
      </c>
      <c r="C432" s="3">
        <v>2013</v>
      </c>
      <c r="D432" s="3">
        <v>12070.6</v>
      </c>
      <c r="E432" s="3">
        <v>8822.23</v>
      </c>
      <c r="F432" s="3">
        <f ca="1" t="shared" si="12"/>
        <v>20892.83</v>
      </c>
      <c r="G432" s="3">
        <v>6014.53</v>
      </c>
      <c r="H432" s="3">
        <f ca="1" t="shared" si="13"/>
        <v>3.47372612656351</v>
      </c>
    </row>
    <row r="433" hidden="1" spans="1:8">
      <c r="A433" s="3">
        <f>VLOOKUP(B433,Sheet2!$A$1:$B$31,2,0)</f>
        <v>29</v>
      </c>
      <c r="B433" s="3" t="s">
        <v>36</v>
      </c>
      <c r="C433" s="3">
        <v>2013</v>
      </c>
      <c r="D433" s="3">
        <v>4102.54</v>
      </c>
      <c r="E433" s="3">
        <v>3398.17</v>
      </c>
      <c r="F433" s="3">
        <f ca="1" t="shared" si="12"/>
        <v>7500.71</v>
      </c>
      <c r="G433" s="3">
        <v>1713.31</v>
      </c>
      <c r="H433" s="3">
        <f ca="1" t="shared" si="13"/>
        <v>4.37790592478886</v>
      </c>
    </row>
    <row r="434" hidden="1" spans="1:8">
      <c r="A434" s="3">
        <f>VLOOKUP(B434,Sheet2!$A$1:$B$31,2,0)</f>
        <v>30</v>
      </c>
      <c r="B434" s="3" t="s">
        <v>37</v>
      </c>
      <c r="C434" s="3">
        <v>2013</v>
      </c>
      <c r="D434" s="3">
        <v>3868.47</v>
      </c>
      <c r="E434" s="3">
        <v>3910.15</v>
      </c>
      <c r="F434" s="3">
        <f ca="1" t="shared" si="12"/>
        <v>7778.62</v>
      </c>
      <c r="G434" s="3">
        <v>2327.7</v>
      </c>
      <c r="H434" s="3">
        <f ca="1" t="shared" si="13"/>
        <v>3.34176225458607</v>
      </c>
    </row>
    <row r="435" hidden="1" spans="1:8">
      <c r="A435" s="3">
        <f>VLOOKUP(B435,Sheet2!$A$1:$B$31,2,0)</f>
        <v>31</v>
      </c>
      <c r="B435" s="3" t="s">
        <v>38</v>
      </c>
      <c r="C435" s="3">
        <v>2013</v>
      </c>
      <c r="D435" s="3">
        <v>14088.8</v>
      </c>
      <c r="E435" s="3">
        <v>9840.46</v>
      </c>
      <c r="F435" s="3">
        <f ca="1" t="shared" si="12"/>
        <v>23929.26</v>
      </c>
      <c r="G435" s="3">
        <v>8392.6</v>
      </c>
      <c r="H435" s="3">
        <f ca="1" t="shared" si="13"/>
        <v>2.85123322927341</v>
      </c>
    </row>
    <row r="436" hidden="1" spans="1:8">
      <c r="A436" s="3">
        <f>VLOOKUP(B436,Sheet2!$A$1:$B$31,2,0)</f>
        <v>1</v>
      </c>
      <c r="B436" s="3" t="s">
        <v>8</v>
      </c>
      <c r="C436" s="3">
        <v>2014</v>
      </c>
      <c r="D436" s="3">
        <v>100096</v>
      </c>
      <c r="E436" s="3">
        <v>53650.6</v>
      </c>
      <c r="F436" s="3">
        <f ca="1" t="shared" si="12"/>
        <v>153746.6</v>
      </c>
      <c r="G436" s="3">
        <v>22926</v>
      </c>
      <c r="H436" s="3">
        <f ca="1" t="shared" si="13"/>
        <v>6.70621128849341</v>
      </c>
    </row>
    <row r="437" hidden="1" spans="1:8">
      <c r="A437" s="3">
        <f>VLOOKUP(B437,Sheet2!$A$1:$B$31,2,0)</f>
        <v>2</v>
      </c>
      <c r="B437" s="3" t="s">
        <v>9</v>
      </c>
      <c r="C437" s="3">
        <v>2014</v>
      </c>
      <c r="D437" s="3">
        <v>24777.8</v>
      </c>
      <c r="E437" s="3">
        <v>23223.4</v>
      </c>
      <c r="F437" s="3">
        <f ca="1" t="shared" si="12"/>
        <v>48001.2</v>
      </c>
      <c r="G437" s="3">
        <v>10640.6</v>
      </c>
      <c r="H437" s="3">
        <f ca="1" t="shared" si="13"/>
        <v>4.51113659004191</v>
      </c>
    </row>
    <row r="438" spans="1:8">
      <c r="A438" s="3">
        <f>VLOOKUP(B438,Sheet2!$A$1:$B$31,2,0)</f>
        <v>3</v>
      </c>
      <c r="B438" s="3" t="s">
        <v>10</v>
      </c>
      <c r="C438" s="3">
        <v>2014</v>
      </c>
      <c r="D438" s="3">
        <v>43764</v>
      </c>
      <c r="E438" s="3">
        <v>28052.3</v>
      </c>
      <c r="F438" s="3">
        <f ca="1" t="shared" si="12"/>
        <v>71816.3</v>
      </c>
      <c r="G438" s="3">
        <v>25208.9</v>
      </c>
      <c r="H438" s="3">
        <f ca="1" t="shared" si="13"/>
        <v>2.84884703418237</v>
      </c>
    </row>
    <row r="439" hidden="1" spans="1:8">
      <c r="A439" s="3">
        <f>VLOOKUP(B439,Sheet2!$A$1:$B$31,2,0)</f>
        <v>4</v>
      </c>
      <c r="B439" s="3" t="s">
        <v>11</v>
      </c>
      <c r="C439" s="3">
        <v>2014</v>
      </c>
      <c r="D439" s="3">
        <v>26779.5</v>
      </c>
      <c r="E439" s="3">
        <v>16432.8</v>
      </c>
      <c r="F439" s="3">
        <f ca="1" t="shared" si="12"/>
        <v>43212.3</v>
      </c>
      <c r="G439" s="3">
        <v>12094.7</v>
      </c>
      <c r="H439" s="3">
        <f ca="1" t="shared" si="13"/>
        <v>3.57282942115141</v>
      </c>
    </row>
    <row r="440" hidden="1" spans="1:8">
      <c r="A440" s="3">
        <f>VLOOKUP(B440,Sheet2!$A$1:$B$31,2,0)</f>
        <v>5</v>
      </c>
      <c r="B440" s="3" t="s">
        <v>12</v>
      </c>
      <c r="C440" s="3">
        <v>2014</v>
      </c>
      <c r="D440" s="3">
        <v>16217.6</v>
      </c>
      <c r="E440" s="3">
        <v>14947.1</v>
      </c>
      <c r="F440" s="3">
        <f ca="1" t="shared" si="12"/>
        <v>31164.7</v>
      </c>
      <c r="G440" s="3">
        <v>12158.2</v>
      </c>
      <c r="H440" s="3">
        <f ca="1" t="shared" si="13"/>
        <v>2.56326594397197</v>
      </c>
    </row>
    <row r="441" hidden="1" spans="1:8">
      <c r="A441" s="3">
        <f>VLOOKUP(B441,Sheet2!$A$1:$B$31,2,0)</f>
        <v>6</v>
      </c>
      <c r="B441" s="3" t="s">
        <v>13</v>
      </c>
      <c r="C441" s="3">
        <v>2014</v>
      </c>
      <c r="D441" s="3">
        <v>42053.1</v>
      </c>
      <c r="E441" s="3">
        <v>33023.5</v>
      </c>
      <c r="F441" s="3">
        <f ca="1" t="shared" si="12"/>
        <v>75076.6</v>
      </c>
      <c r="G441" s="3">
        <v>20025.7</v>
      </c>
      <c r="H441" s="3">
        <f ca="1" t="shared" si="13"/>
        <v>3.7490125189132</v>
      </c>
    </row>
    <row r="442" hidden="1" spans="1:8">
      <c r="A442" s="3">
        <f>VLOOKUP(B442,Sheet2!$A$1:$B$31,2,0)</f>
        <v>7</v>
      </c>
      <c r="B442" s="3" t="s">
        <v>14</v>
      </c>
      <c r="C442" s="3">
        <v>2014</v>
      </c>
      <c r="D442" s="3">
        <v>16400.1</v>
      </c>
      <c r="E442" s="3">
        <v>12587.3</v>
      </c>
      <c r="F442" s="3">
        <f ca="1" t="shared" si="12"/>
        <v>28987.4</v>
      </c>
      <c r="G442" s="3">
        <v>9966.54</v>
      </c>
      <c r="H442" s="3">
        <f ca="1" t="shared" si="13"/>
        <v>2.90847174646367</v>
      </c>
    </row>
    <row r="443" hidden="1" spans="1:8">
      <c r="A443" s="3">
        <f>VLOOKUP(B443,Sheet2!$A$1:$B$31,2,0)</f>
        <v>8</v>
      </c>
      <c r="B443" s="3" t="s">
        <v>15</v>
      </c>
      <c r="C443" s="3">
        <v>2014</v>
      </c>
      <c r="D443" s="3">
        <v>19254.8</v>
      </c>
      <c r="E443" s="3">
        <v>13391.7</v>
      </c>
      <c r="F443" s="3">
        <f ca="1" t="shared" si="12"/>
        <v>32646.5</v>
      </c>
      <c r="G443" s="3">
        <v>12170.8</v>
      </c>
      <c r="H443" s="3">
        <f ca="1" t="shared" si="13"/>
        <v>2.68236270417721</v>
      </c>
    </row>
    <row r="444" hidden="1" spans="1:8">
      <c r="A444" s="3">
        <f>VLOOKUP(B444,Sheet2!$A$1:$B$31,2,0)</f>
        <v>9</v>
      </c>
      <c r="B444" s="3" t="s">
        <v>16</v>
      </c>
      <c r="C444" s="3">
        <v>2014</v>
      </c>
      <c r="D444" s="3">
        <v>73882.5</v>
      </c>
      <c r="E444" s="3">
        <v>47915.8</v>
      </c>
      <c r="F444" s="3">
        <f ca="1" t="shared" si="12"/>
        <v>121798.3</v>
      </c>
      <c r="G444" s="3">
        <v>25269.8</v>
      </c>
      <c r="H444" s="3">
        <f ca="1" t="shared" si="13"/>
        <v>4.81991547222376</v>
      </c>
    </row>
    <row r="445" hidden="1" spans="1:8">
      <c r="A445" s="3">
        <f>VLOOKUP(B445,Sheet2!$A$1:$B$31,2,0)</f>
        <v>10</v>
      </c>
      <c r="B445" s="3" t="s">
        <v>17</v>
      </c>
      <c r="C445" s="3">
        <v>2014</v>
      </c>
      <c r="D445" s="3">
        <v>93735.6</v>
      </c>
      <c r="E445" s="3">
        <v>69572.7</v>
      </c>
      <c r="F445" s="3">
        <f ca="1" t="shared" si="12"/>
        <v>163308.3</v>
      </c>
      <c r="G445" s="3">
        <v>64830.5</v>
      </c>
      <c r="H445" s="3">
        <f ca="1" t="shared" si="13"/>
        <v>2.51900417241885</v>
      </c>
    </row>
    <row r="446" hidden="1" spans="1:8">
      <c r="A446" s="3">
        <f>VLOOKUP(B446,Sheet2!$A$1:$B$31,2,0)</f>
        <v>11</v>
      </c>
      <c r="B446" s="3" t="s">
        <v>18</v>
      </c>
      <c r="C446" s="3">
        <v>2014</v>
      </c>
      <c r="D446" s="3">
        <v>79241.9</v>
      </c>
      <c r="E446" s="3">
        <v>71361</v>
      </c>
      <c r="F446" s="3">
        <f ca="1" t="shared" si="12"/>
        <v>150602.9</v>
      </c>
      <c r="G446" s="3">
        <v>40023.5</v>
      </c>
      <c r="H446" s="3">
        <f ca="1" t="shared" si="13"/>
        <v>3.76286181868152</v>
      </c>
    </row>
    <row r="447" hidden="1" spans="1:8">
      <c r="A447" s="3">
        <f>VLOOKUP(B447,Sheet2!$A$1:$B$31,2,0)</f>
        <v>12</v>
      </c>
      <c r="B447" s="3" t="s">
        <v>19</v>
      </c>
      <c r="C447" s="3">
        <v>2014</v>
      </c>
      <c r="D447" s="3">
        <v>30088.8</v>
      </c>
      <c r="E447" s="3">
        <v>22754.7</v>
      </c>
      <c r="F447" s="3">
        <f ca="1" t="shared" si="12"/>
        <v>52843.5</v>
      </c>
      <c r="G447" s="3">
        <v>22519.7</v>
      </c>
      <c r="H447" s="3">
        <f ca="1" t="shared" si="13"/>
        <v>2.34654546907818</v>
      </c>
    </row>
    <row r="448" hidden="1" spans="1:8">
      <c r="A448" s="3">
        <f>VLOOKUP(B448,Sheet2!$A$1:$B$31,2,0)</f>
        <v>13</v>
      </c>
      <c r="B448" s="3" t="s">
        <v>20</v>
      </c>
      <c r="C448" s="3">
        <v>2014</v>
      </c>
      <c r="D448" s="3">
        <v>30747.6</v>
      </c>
      <c r="E448" s="3">
        <v>28417.7</v>
      </c>
      <c r="F448" s="3">
        <f ca="1" t="shared" si="12"/>
        <v>59165.3</v>
      </c>
      <c r="G448" s="3">
        <v>24942.1</v>
      </c>
      <c r="H448" s="3">
        <f ca="1" t="shared" si="13"/>
        <v>2.37210579702591</v>
      </c>
    </row>
    <row r="449" hidden="1" spans="1:8">
      <c r="A449" s="3">
        <f>VLOOKUP(B449,Sheet2!$A$1:$B$31,2,0)</f>
        <v>14</v>
      </c>
      <c r="B449" s="3" t="s">
        <v>21</v>
      </c>
      <c r="C449" s="3">
        <v>2014</v>
      </c>
      <c r="D449" s="3">
        <v>21754.9</v>
      </c>
      <c r="E449" s="3">
        <v>15696.8</v>
      </c>
      <c r="F449" s="3">
        <f ca="1" t="shared" si="12"/>
        <v>37451.7</v>
      </c>
      <c r="G449" s="3">
        <v>15667.8</v>
      </c>
      <c r="H449" s="3">
        <f ca="1" t="shared" si="13"/>
        <v>2.39036112281239</v>
      </c>
    </row>
    <row r="450" hidden="1" spans="1:8">
      <c r="A450" s="3">
        <f>VLOOKUP(B450,Sheet2!$A$1:$B$31,2,0)</f>
        <v>15</v>
      </c>
      <c r="B450" s="3" t="s">
        <v>22</v>
      </c>
      <c r="C450" s="3">
        <v>2014</v>
      </c>
      <c r="D450" s="3">
        <v>67498.3</v>
      </c>
      <c r="E450" s="3">
        <v>50058.6</v>
      </c>
      <c r="F450" s="3">
        <f ca="1" t="shared" ref="F450:F513" si="14">D450+E450</f>
        <v>117556.9</v>
      </c>
      <c r="G450" s="3">
        <v>50774.8</v>
      </c>
      <c r="H450" s="3">
        <f ca="1" t="shared" ref="H450:H513" si="15">F450/G450</f>
        <v>2.31526071988467</v>
      </c>
    </row>
    <row r="451" hidden="1" spans="1:8">
      <c r="A451" s="3">
        <f>VLOOKUP(B451,Sheet2!$A$1:$B$31,2,0)</f>
        <v>16</v>
      </c>
      <c r="B451" s="3" t="s">
        <v>23</v>
      </c>
      <c r="C451" s="3">
        <v>2014</v>
      </c>
      <c r="D451" s="3">
        <v>41374.9</v>
      </c>
      <c r="E451" s="3">
        <v>27228.3</v>
      </c>
      <c r="F451" s="3">
        <f ca="1" t="shared" si="14"/>
        <v>68603.2</v>
      </c>
      <c r="G451" s="3">
        <v>34574.8</v>
      </c>
      <c r="H451" s="3">
        <f ca="1" t="shared" si="15"/>
        <v>1.98419658248204</v>
      </c>
    </row>
    <row r="452" hidden="1" spans="1:8">
      <c r="A452" s="3">
        <f>VLOOKUP(B452,Sheet2!$A$1:$B$31,2,0)</f>
        <v>17</v>
      </c>
      <c r="B452" s="3" t="s">
        <v>24</v>
      </c>
      <c r="C452" s="3">
        <v>2014</v>
      </c>
      <c r="D452" s="3">
        <v>36153.6</v>
      </c>
      <c r="E452" s="3">
        <v>24240</v>
      </c>
      <c r="F452" s="3">
        <f ca="1" t="shared" si="14"/>
        <v>60393.6</v>
      </c>
      <c r="G452" s="3">
        <v>28242.1</v>
      </c>
      <c r="H452" s="3">
        <f ca="1" t="shared" si="15"/>
        <v>2.13842455058229</v>
      </c>
    </row>
    <row r="453" hidden="1" spans="1:8">
      <c r="A453" s="3">
        <f>VLOOKUP(B453,Sheet2!$A$1:$B$31,2,0)</f>
        <v>18</v>
      </c>
      <c r="B453" s="3" t="s">
        <v>25</v>
      </c>
      <c r="C453" s="3">
        <v>2014</v>
      </c>
      <c r="D453" s="3">
        <v>30255.6</v>
      </c>
      <c r="E453" s="3">
        <v>20783.1</v>
      </c>
      <c r="F453" s="3">
        <f ca="1" t="shared" si="14"/>
        <v>51038.7</v>
      </c>
      <c r="G453" s="3">
        <v>25881.3</v>
      </c>
      <c r="H453" s="3">
        <f ca="1" t="shared" si="15"/>
        <v>1.97202999849312</v>
      </c>
    </row>
    <row r="454" hidden="1" spans="1:8">
      <c r="A454" s="3">
        <f>VLOOKUP(B454,Sheet2!$A$1:$B$31,2,0)</f>
        <v>19</v>
      </c>
      <c r="B454" s="3" t="s">
        <v>26</v>
      </c>
      <c r="C454" s="3">
        <v>2014</v>
      </c>
      <c r="D454" s="3">
        <v>127881</v>
      </c>
      <c r="E454" s="3">
        <v>121965</v>
      </c>
      <c r="F454" s="3">
        <f ca="1" t="shared" si="14"/>
        <v>249846</v>
      </c>
      <c r="G454" s="3">
        <v>68173</v>
      </c>
      <c r="H454" s="3">
        <f ca="1" t="shared" si="15"/>
        <v>3.66488199140422</v>
      </c>
    </row>
    <row r="455" hidden="1" spans="1:8">
      <c r="A455" s="3">
        <f>VLOOKUP(B455,Sheet2!$A$1:$B$31,2,0)</f>
        <v>20</v>
      </c>
      <c r="B455" s="3" t="s">
        <v>27</v>
      </c>
      <c r="C455" s="3">
        <v>2014</v>
      </c>
      <c r="D455" s="3">
        <v>20298.5</v>
      </c>
      <c r="E455" s="3">
        <v>16071</v>
      </c>
      <c r="F455" s="3">
        <f ca="1" t="shared" si="14"/>
        <v>36369.5</v>
      </c>
      <c r="G455" s="3">
        <v>13587.8</v>
      </c>
      <c r="H455" s="3">
        <f ca="1" t="shared" si="15"/>
        <v>2.67662903486952</v>
      </c>
    </row>
    <row r="456" hidden="1" spans="1:8">
      <c r="A456" s="3">
        <f>VLOOKUP(B456,Sheet2!$A$1:$B$31,2,0)</f>
        <v>21</v>
      </c>
      <c r="B456" s="3" t="s">
        <v>28</v>
      </c>
      <c r="C456" s="3">
        <v>2014</v>
      </c>
      <c r="D456" s="3">
        <v>6427.88</v>
      </c>
      <c r="E456" s="3">
        <v>5391.51</v>
      </c>
      <c r="F456" s="3">
        <f ca="1" t="shared" si="14"/>
        <v>11819.39</v>
      </c>
      <c r="G456" s="3">
        <v>3449.01</v>
      </c>
      <c r="H456" s="3">
        <f ca="1" t="shared" si="15"/>
        <v>3.42689351437079</v>
      </c>
    </row>
    <row r="457" hidden="1" spans="1:8">
      <c r="A457" s="3">
        <f>VLOOKUP(B457,Sheet2!$A$1:$B$31,2,0)</f>
        <v>22</v>
      </c>
      <c r="B457" s="3" t="s">
        <v>29</v>
      </c>
      <c r="C457" s="3">
        <v>2014</v>
      </c>
      <c r="D457" s="3">
        <v>25160.1</v>
      </c>
      <c r="E457" s="3">
        <v>20630.7</v>
      </c>
      <c r="F457" s="3">
        <f ca="1" t="shared" si="14"/>
        <v>45790.8</v>
      </c>
      <c r="G457" s="3">
        <v>14623.8</v>
      </c>
      <c r="H457" s="3">
        <f ca="1" t="shared" si="15"/>
        <v>3.13125179501908</v>
      </c>
    </row>
    <row r="458" hidden="1" spans="1:8">
      <c r="A458" s="3">
        <f>VLOOKUP(B458,Sheet2!$A$1:$B$31,2,0)</f>
        <v>23</v>
      </c>
      <c r="B458" s="3" t="s">
        <v>30</v>
      </c>
      <c r="C458" s="3">
        <v>2014</v>
      </c>
      <c r="D458" s="3">
        <v>52289.8</v>
      </c>
      <c r="E458" s="3">
        <v>34750.7</v>
      </c>
      <c r="F458" s="3">
        <f ca="1" t="shared" si="14"/>
        <v>87040.5</v>
      </c>
      <c r="G458" s="3">
        <v>28891.3</v>
      </c>
      <c r="H458" s="3">
        <f ca="1" t="shared" si="15"/>
        <v>3.01268894096147</v>
      </c>
    </row>
    <row r="459" hidden="1" spans="1:8">
      <c r="A459" s="3">
        <f>VLOOKUP(B459,Sheet2!$A$1:$B$31,2,0)</f>
        <v>24</v>
      </c>
      <c r="B459" s="3" t="s">
        <v>31</v>
      </c>
      <c r="C459" s="3">
        <v>2014</v>
      </c>
      <c r="D459" s="3">
        <v>15263.3</v>
      </c>
      <c r="E459" s="3">
        <v>12368.3</v>
      </c>
      <c r="F459" s="3">
        <f ca="1" t="shared" si="14"/>
        <v>27631.6</v>
      </c>
      <c r="G459" s="3">
        <v>9173.13</v>
      </c>
      <c r="H459" s="3">
        <f ca="1" t="shared" si="15"/>
        <v>3.01223246590858</v>
      </c>
    </row>
    <row r="460" hidden="1" spans="1:8">
      <c r="A460" s="3">
        <f>VLOOKUP(B460,Sheet2!$A$1:$B$31,2,0)</f>
        <v>25</v>
      </c>
      <c r="B460" s="3" t="s">
        <v>32</v>
      </c>
      <c r="C460" s="3">
        <v>2014</v>
      </c>
      <c r="D460" s="3">
        <v>22456.3</v>
      </c>
      <c r="E460" s="3">
        <v>17978.7</v>
      </c>
      <c r="F460" s="3">
        <f ca="1" t="shared" si="14"/>
        <v>40435</v>
      </c>
      <c r="G460" s="3">
        <v>14041.7</v>
      </c>
      <c r="H460" s="3">
        <f ca="1" t="shared" si="15"/>
        <v>2.87963708098022</v>
      </c>
    </row>
    <row r="461" hidden="1" spans="1:8">
      <c r="A461" s="3">
        <f>VLOOKUP(B461,Sheet2!$A$1:$B$31,2,0)</f>
        <v>26</v>
      </c>
      <c r="B461" s="3" t="s">
        <v>33</v>
      </c>
      <c r="C461" s="3">
        <v>2014</v>
      </c>
      <c r="D461" s="3">
        <v>3082.38</v>
      </c>
      <c r="E461" s="3">
        <v>1618.72</v>
      </c>
      <c r="F461" s="3">
        <f ca="1" t="shared" si="14"/>
        <v>4701.1</v>
      </c>
      <c r="G461" s="3">
        <v>939.74</v>
      </c>
      <c r="H461" s="3">
        <f ca="1" t="shared" si="15"/>
        <v>5.00255389788665</v>
      </c>
    </row>
    <row r="462" hidden="1" spans="1:8">
      <c r="A462" s="3">
        <f>VLOOKUP(B462,Sheet2!$A$1:$B$31,2,0)</f>
        <v>27</v>
      </c>
      <c r="B462" s="3" t="s">
        <v>34</v>
      </c>
      <c r="C462" s="3">
        <v>2014</v>
      </c>
      <c r="D462" s="3">
        <v>28111.3</v>
      </c>
      <c r="E462" s="3">
        <v>18837.2</v>
      </c>
      <c r="F462" s="3">
        <f ca="1" t="shared" si="14"/>
        <v>46948.5</v>
      </c>
      <c r="G462" s="3">
        <v>17402.5</v>
      </c>
      <c r="H462" s="3">
        <f ca="1" t="shared" si="15"/>
        <v>2.69780203993679</v>
      </c>
    </row>
    <row r="463" hidden="1" spans="1:8">
      <c r="A463" s="3">
        <f>VLOOKUP(B463,Sheet2!$A$1:$B$31,2,0)</f>
        <v>28</v>
      </c>
      <c r="B463" s="3" t="s">
        <v>35</v>
      </c>
      <c r="C463" s="3">
        <v>2014</v>
      </c>
      <c r="D463" s="3">
        <v>13958</v>
      </c>
      <c r="E463" s="3">
        <v>11075.8</v>
      </c>
      <c r="F463" s="3">
        <f ca="1" t="shared" si="14"/>
        <v>25033.8</v>
      </c>
      <c r="G463" s="3">
        <v>6518.39</v>
      </c>
      <c r="H463" s="3">
        <f ca="1" t="shared" si="15"/>
        <v>3.84048821871658</v>
      </c>
    </row>
    <row r="464" hidden="1" spans="1:8">
      <c r="A464" s="3">
        <f>VLOOKUP(B464,Sheet2!$A$1:$B$31,2,0)</f>
        <v>29</v>
      </c>
      <c r="B464" s="3" t="s">
        <v>36</v>
      </c>
      <c r="C464" s="3">
        <v>2014</v>
      </c>
      <c r="D464" s="3">
        <v>4529.87</v>
      </c>
      <c r="E464" s="3">
        <v>4171.73</v>
      </c>
      <c r="F464" s="3">
        <f ca="1" t="shared" si="14"/>
        <v>8701.6</v>
      </c>
      <c r="G464" s="3">
        <v>1847.72</v>
      </c>
      <c r="H464" s="3">
        <f ca="1" t="shared" si="15"/>
        <v>4.70937154980192</v>
      </c>
    </row>
    <row r="465" hidden="1" spans="1:8">
      <c r="A465" s="3">
        <f>VLOOKUP(B465,Sheet2!$A$1:$B$31,2,0)</f>
        <v>30</v>
      </c>
      <c r="B465" s="3" t="s">
        <v>37</v>
      </c>
      <c r="C465" s="3">
        <v>2014</v>
      </c>
      <c r="D465" s="3">
        <v>4209.06</v>
      </c>
      <c r="E465" s="3">
        <v>4578.49</v>
      </c>
      <c r="F465" s="3">
        <f ca="1" t="shared" si="14"/>
        <v>8787.55</v>
      </c>
      <c r="G465" s="3">
        <v>2473.9</v>
      </c>
      <c r="H465" s="3">
        <f ca="1" t="shared" si="15"/>
        <v>3.55210396539876</v>
      </c>
    </row>
    <row r="466" hidden="1" spans="1:8">
      <c r="A466" s="3">
        <f>VLOOKUP(B466,Sheet2!$A$1:$B$31,2,0)</f>
        <v>31</v>
      </c>
      <c r="B466" s="3" t="s">
        <v>38</v>
      </c>
      <c r="C466" s="3">
        <v>2014</v>
      </c>
      <c r="D466" s="3">
        <v>15055.4</v>
      </c>
      <c r="E466" s="3">
        <v>11671.4</v>
      </c>
      <c r="F466" s="3">
        <f ca="1" t="shared" si="14"/>
        <v>26726.8</v>
      </c>
      <c r="G466" s="3">
        <v>9264.5</v>
      </c>
      <c r="H466" s="3">
        <f ca="1" t="shared" si="15"/>
        <v>2.88486156835231</v>
      </c>
    </row>
    <row r="467" hidden="1" spans="1:8">
      <c r="A467" s="3">
        <f>VLOOKUP(B467,Sheet2!$A$1:$B$31,2,0)</f>
        <v>1</v>
      </c>
      <c r="B467" s="3" t="s">
        <v>8</v>
      </c>
      <c r="C467" s="3">
        <v>2015</v>
      </c>
      <c r="D467" s="3">
        <v>128573</v>
      </c>
      <c r="E467" s="3">
        <v>58559.4</v>
      </c>
      <c r="F467" s="3">
        <f ca="1" t="shared" si="14"/>
        <v>187132.4</v>
      </c>
      <c r="G467" s="3">
        <v>24779.1</v>
      </c>
      <c r="H467" s="3">
        <f ca="1" t="shared" si="15"/>
        <v>7.55202569907704</v>
      </c>
    </row>
    <row r="468" hidden="1" spans="1:8">
      <c r="A468" s="3">
        <f>VLOOKUP(B468,Sheet2!$A$1:$B$31,2,0)</f>
        <v>2</v>
      </c>
      <c r="B468" s="3" t="s">
        <v>9</v>
      </c>
      <c r="C468" s="3">
        <v>2015</v>
      </c>
      <c r="D468" s="3">
        <v>28149.4</v>
      </c>
      <c r="E468" s="3">
        <v>25994.7</v>
      </c>
      <c r="F468" s="3">
        <f ca="1" t="shared" si="14"/>
        <v>54144.1</v>
      </c>
      <c r="G468" s="3">
        <v>10879.5</v>
      </c>
      <c r="H468" s="3">
        <f ca="1" t="shared" si="15"/>
        <v>4.97670848844156</v>
      </c>
    </row>
    <row r="469" spans="1:8">
      <c r="A469" s="3">
        <f>VLOOKUP(B469,Sheet2!$A$1:$B$31,2,0)</f>
        <v>3</v>
      </c>
      <c r="B469" s="3" t="s">
        <v>10</v>
      </c>
      <c r="C469" s="3">
        <v>2015</v>
      </c>
      <c r="D469" s="3">
        <v>48927.6</v>
      </c>
      <c r="E469" s="3">
        <v>32608.5</v>
      </c>
      <c r="F469" s="3">
        <f ca="1" t="shared" si="14"/>
        <v>81536.1</v>
      </c>
      <c r="G469" s="3">
        <v>26398.4</v>
      </c>
      <c r="H469" s="3">
        <f ca="1" t="shared" si="15"/>
        <v>3.08867582883811</v>
      </c>
    </row>
    <row r="470" hidden="1" spans="1:8">
      <c r="A470" s="3">
        <f>VLOOKUP(B470,Sheet2!$A$1:$B$31,2,0)</f>
        <v>4</v>
      </c>
      <c r="B470" s="3" t="s">
        <v>11</v>
      </c>
      <c r="C470" s="3">
        <v>2015</v>
      </c>
      <c r="D470" s="3">
        <v>28346.1</v>
      </c>
      <c r="E470" s="3">
        <v>18458.7</v>
      </c>
      <c r="F470" s="3">
        <f ca="1" t="shared" si="14"/>
        <v>46804.8</v>
      </c>
      <c r="G470" s="3">
        <v>11836.4</v>
      </c>
      <c r="H470" s="3">
        <f ca="1" t="shared" si="15"/>
        <v>3.95431043222601</v>
      </c>
    </row>
    <row r="471" hidden="1" spans="1:8">
      <c r="A471" s="3">
        <f>VLOOKUP(B471,Sheet2!$A$1:$B$31,2,0)</f>
        <v>5</v>
      </c>
      <c r="B471" s="3" t="s">
        <v>12</v>
      </c>
      <c r="C471" s="3">
        <v>2015</v>
      </c>
      <c r="D471" s="3">
        <v>18077.6</v>
      </c>
      <c r="E471" s="3">
        <v>17140.7</v>
      </c>
      <c r="F471" s="3">
        <f ca="1" t="shared" si="14"/>
        <v>35218.3</v>
      </c>
      <c r="G471" s="3">
        <v>12949</v>
      </c>
      <c r="H471" s="3">
        <f ca="1" t="shared" si="15"/>
        <v>2.71976986639895</v>
      </c>
    </row>
    <row r="472" hidden="1" spans="1:8">
      <c r="A472" s="3">
        <f>VLOOKUP(B472,Sheet2!$A$1:$B$31,2,0)</f>
        <v>6</v>
      </c>
      <c r="B472" s="3" t="s">
        <v>13</v>
      </c>
      <c r="C472" s="3">
        <v>2015</v>
      </c>
      <c r="D472" s="3">
        <v>47758.2</v>
      </c>
      <c r="E472" s="3">
        <v>36282.8</v>
      </c>
      <c r="F472" s="3">
        <f ca="1" t="shared" si="14"/>
        <v>84041</v>
      </c>
      <c r="G472" s="3">
        <v>20210.3</v>
      </c>
      <c r="H472" s="3">
        <f ca="1" t="shared" si="15"/>
        <v>4.15832521041251</v>
      </c>
    </row>
    <row r="473" hidden="1" spans="1:8">
      <c r="A473" s="3">
        <f>VLOOKUP(B473,Sheet2!$A$1:$B$31,2,0)</f>
        <v>7</v>
      </c>
      <c r="B473" s="3" t="s">
        <v>14</v>
      </c>
      <c r="C473" s="3">
        <v>2015</v>
      </c>
      <c r="D473" s="3">
        <v>18499.6</v>
      </c>
      <c r="E473" s="3">
        <v>15203.1</v>
      </c>
      <c r="F473" s="3">
        <f ca="1" t="shared" si="14"/>
        <v>33702.7</v>
      </c>
      <c r="G473" s="3">
        <v>10018</v>
      </c>
      <c r="H473" s="3">
        <f ca="1" t="shared" si="15"/>
        <v>3.3642144140547</v>
      </c>
    </row>
    <row r="474" hidden="1" spans="1:8">
      <c r="A474" s="3">
        <f>VLOOKUP(B474,Sheet2!$A$1:$B$31,2,0)</f>
        <v>8</v>
      </c>
      <c r="B474" s="3" t="s">
        <v>15</v>
      </c>
      <c r="C474" s="3">
        <v>2015</v>
      </c>
      <c r="D474" s="3">
        <v>21218.9</v>
      </c>
      <c r="E474" s="3">
        <v>16214.9</v>
      </c>
      <c r="F474" s="3">
        <f ca="1" t="shared" si="14"/>
        <v>37433.8</v>
      </c>
      <c r="G474" s="3">
        <v>11690</v>
      </c>
      <c r="H474" s="3">
        <f ca="1" t="shared" si="15"/>
        <v>3.20220701454234</v>
      </c>
    </row>
    <row r="475" hidden="1" spans="1:8">
      <c r="A475" s="3">
        <f>VLOOKUP(B475,Sheet2!$A$1:$B$31,2,0)</f>
        <v>9</v>
      </c>
      <c r="B475" s="3" t="s">
        <v>16</v>
      </c>
      <c r="C475" s="3">
        <v>2015</v>
      </c>
      <c r="D475" s="3">
        <v>103761</v>
      </c>
      <c r="E475" s="3">
        <v>53387.2</v>
      </c>
      <c r="F475" s="3">
        <f ca="1" t="shared" si="14"/>
        <v>157148.2</v>
      </c>
      <c r="G475" s="3">
        <v>26887</v>
      </c>
      <c r="H475" s="3">
        <f ca="1" t="shared" si="15"/>
        <v>5.84476512812884</v>
      </c>
    </row>
    <row r="476" hidden="1" spans="1:8">
      <c r="A476" s="3">
        <f>VLOOKUP(B476,Sheet2!$A$1:$B$31,2,0)</f>
        <v>10</v>
      </c>
      <c r="B476" s="3" t="s">
        <v>17</v>
      </c>
      <c r="C476" s="3">
        <v>2015</v>
      </c>
      <c r="D476" s="3">
        <v>107873</v>
      </c>
      <c r="E476" s="3">
        <v>78866.3</v>
      </c>
      <c r="F476" s="3">
        <f ca="1" t="shared" si="14"/>
        <v>186739.3</v>
      </c>
      <c r="G476" s="3">
        <v>71255.9</v>
      </c>
      <c r="H476" s="3">
        <f ca="1" t="shared" si="15"/>
        <v>2.62068544499473</v>
      </c>
    </row>
    <row r="477" hidden="1" spans="1:8">
      <c r="A477" s="3">
        <f>VLOOKUP(B477,Sheet2!$A$1:$B$31,2,0)</f>
        <v>11</v>
      </c>
      <c r="B477" s="3" t="s">
        <v>18</v>
      </c>
      <c r="C477" s="3">
        <v>2015</v>
      </c>
      <c r="D477" s="3">
        <v>90301.6</v>
      </c>
      <c r="E477" s="3">
        <v>76466.3</v>
      </c>
      <c r="F477" s="3">
        <f ca="1" t="shared" si="14"/>
        <v>166767.9</v>
      </c>
      <c r="G477" s="3">
        <v>43507.7</v>
      </c>
      <c r="H477" s="3">
        <f ca="1" t="shared" si="15"/>
        <v>3.83306633078742</v>
      </c>
    </row>
    <row r="478" hidden="1" spans="1:8">
      <c r="A478" s="3">
        <f>VLOOKUP(B478,Sheet2!$A$1:$B$31,2,0)</f>
        <v>12</v>
      </c>
      <c r="B478" s="3" t="s">
        <v>19</v>
      </c>
      <c r="C478" s="3">
        <v>2015</v>
      </c>
      <c r="D478" s="3">
        <v>34826.2</v>
      </c>
      <c r="E478" s="3">
        <v>26144.4</v>
      </c>
      <c r="F478" s="3">
        <f ca="1" t="shared" si="14"/>
        <v>60970.6</v>
      </c>
      <c r="G478" s="3">
        <v>23831.2</v>
      </c>
      <c r="H478" s="3">
        <f ca="1" t="shared" si="15"/>
        <v>2.55843599986572</v>
      </c>
    </row>
    <row r="479" hidden="1" spans="1:8">
      <c r="A479" s="3">
        <f>VLOOKUP(B479,Sheet2!$A$1:$B$31,2,0)</f>
        <v>13</v>
      </c>
      <c r="B479" s="3" t="s">
        <v>20</v>
      </c>
      <c r="C479" s="3">
        <v>2015</v>
      </c>
      <c r="D479" s="3">
        <v>35576.1</v>
      </c>
      <c r="E479" s="3">
        <v>32133</v>
      </c>
      <c r="F479" s="3">
        <f ca="1" t="shared" si="14"/>
        <v>67709.1</v>
      </c>
      <c r="G479" s="3">
        <v>26819.5</v>
      </c>
      <c r="H479" s="3">
        <f ca="1" t="shared" si="15"/>
        <v>2.52462201010459</v>
      </c>
    </row>
    <row r="480" hidden="1" spans="1:8">
      <c r="A480" s="3">
        <f>VLOOKUP(B480,Sheet2!$A$1:$B$31,2,0)</f>
        <v>14</v>
      </c>
      <c r="B480" s="3" t="s">
        <v>21</v>
      </c>
      <c r="C480" s="3">
        <v>2015</v>
      </c>
      <c r="D480" s="3">
        <v>25043</v>
      </c>
      <c r="E480" s="3">
        <v>18561.1</v>
      </c>
      <c r="F480" s="3">
        <f ca="1" t="shared" si="14"/>
        <v>43604.1</v>
      </c>
      <c r="G480" s="3">
        <v>16780.9</v>
      </c>
      <c r="H480" s="3">
        <f ca="1" t="shared" si="15"/>
        <v>2.59843631747999</v>
      </c>
    </row>
    <row r="481" hidden="1" spans="1:8">
      <c r="A481" s="3">
        <f>VLOOKUP(B481,Sheet2!$A$1:$B$31,2,0)</f>
        <v>15</v>
      </c>
      <c r="B481" s="3" t="s">
        <v>22</v>
      </c>
      <c r="C481" s="3">
        <v>2015</v>
      </c>
      <c r="D481" s="3">
        <v>74524.2</v>
      </c>
      <c r="E481" s="3">
        <v>55437</v>
      </c>
      <c r="F481" s="3">
        <f ca="1" t="shared" si="14"/>
        <v>129961.2</v>
      </c>
      <c r="G481" s="3">
        <v>55288.8</v>
      </c>
      <c r="H481" s="3">
        <f ca="1" t="shared" si="15"/>
        <v>2.35058818422538</v>
      </c>
    </row>
    <row r="482" hidden="1" spans="1:8">
      <c r="A482" s="3">
        <f>VLOOKUP(B482,Sheet2!$A$1:$B$31,2,0)</f>
        <v>16</v>
      </c>
      <c r="B482" s="3" t="s">
        <v>23</v>
      </c>
      <c r="C482" s="3">
        <v>2015</v>
      </c>
      <c r="D482" s="3">
        <v>47629.9</v>
      </c>
      <c r="E482" s="3">
        <v>31432.6</v>
      </c>
      <c r="F482" s="3">
        <f ca="1" t="shared" si="14"/>
        <v>79062.5</v>
      </c>
      <c r="G482" s="3">
        <v>37084.1</v>
      </c>
      <c r="H482" s="3">
        <f ca="1" t="shared" si="15"/>
        <v>2.13197839505341</v>
      </c>
    </row>
    <row r="483" hidden="1" spans="1:8">
      <c r="A483" s="3">
        <f>VLOOKUP(B483,Sheet2!$A$1:$B$31,2,0)</f>
        <v>17</v>
      </c>
      <c r="B483" s="3" t="s">
        <v>24</v>
      </c>
      <c r="C483" s="3">
        <v>2015</v>
      </c>
      <c r="D483" s="3">
        <v>40896.5</v>
      </c>
      <c r="E483" s="3">
        <v>28338.9</v>
      </c>
      <c r="F483" s="3">
        <f ca="1" t="shared" si="14"/>
        <v>69235.4</v>
      </c>
      <c r="G483" s="3">
        <v>30344</v>
      </c>
      <c r="H483" s="3">
        <f ca="1" t="shared" si="15"/>
        <v>2.28168336409175</v>
      </c>
    </row>
    <row r="484" hidden="1" spans="1:8">
      <c r="A484" s="3">
        <f>VLOOKUP(B484,Sheet2!$A$1:$B$31,2,0)</f>
        <v>18</v>
      </c>
      <c r="B484" s="3" t="s">
        <v>25</v>
      </c>
      <c r="C484" s="3">
        <v>2015</v>
      </c>
      <c r="D484" s="3">
        <v>36220.6</v>
      </c>
      <c r="E484" s="3">
        <v>24221.9</v>
      </c>
      <c r="F484" s="3">
        <f ca="1" t="shared" si="14"/>
        <v>60442.5</v>
      </c>
      <c r="G484" s="3">
        <v>28538.6</v>
      </c>
      <c r="H484" s="3">
        <f ca="1" t="shared" si="15"/>
        <v>2.11792099121891</v>
      </c>
    </row>
    <row r="485" hidden="1" spans="1:8">
      <c r="A485" s="3">
        <f>VLOOKUP(B485,Sheet2!$A$1:$B$31,2,0)</f>
        <v>19</v>
      </c>
      <c r="B485" s="3" t="s">
        <v>26</v>
      </c>
      <c r="C485" s="3">
        <v>2015</v>
      </c>
      <c r="D485" s="3">
        <v>160388</v>
      </c>
      <c r="E485" s="3">
        <v>153552</v>
      </c>
      <c r="F485" s="3">
        <f ca="1" t="shared" si="14"/>
        <v>313940</v>
      </c>
      <c r="G485" s="3">
        <v>74732.4</v>
      </c>
      <c r="H485" s="3">
        <f ca="1" t="shared" si="15"/>
        <v>4.20085531844287</v>
      </c>
    </row>
    <row r="486" hidden="1" spans="1:8">
      <c r="A486" s="3">
        <f>VLOOKUP(B486,Sheet2!$A$1:$B$31,2,0)</f>
        <v>20</v>
      </c>
      <c r="B486" s="3" t="s">
        <v>27</v>
      </c>
      <c r="C486" s="3">
        <v>2015</v>
      </c>
      <c r="D486" s="3">
        <v>22793.5</v>
      </c>
      <c r="E486" s="3">
        <v>18119.3</v>
      </c>
      <c r="F486" s="3">
        <f ca="1" t="shared" si="14"/>
        <v>40912.8</v>
      </c>
      <c r="G486" s="3">
        <v>14797.8</v>
      </c>
      <c r="H486" s="3">
        <f ca="1" t="shared" si="15"/>
        <v>2.76478936058063</v>
      </c>
    </row>
    <row r="487" hidden="1" spans="1:8">
      <c r="A487" s="3">
        <f>VLOOKUP(B487,Sheet2!$A$1:$B$31,2,0)</f>
        <v>21</v>
      </c>
      <c r="B487" s="3" t="s">
        <v>28</v>
      </c>
      <c r="C487" s="3">
        <v>2015</v>
      </c>
      <c r="D487" s="3">
        <v>7626.07</v>
      </c>
      <c r="E487" s="3">
        <v>6643.54</v>
      </c>
      <c r="F487" s="3">
        <f ca="1" t="shared" si="14"/>
        <v>14269.61</v>
      </c>
      <c r="G487" s="3">
        <v>3734.19</v>
      </c>
      <c r="H487" s="3">
        <f ca="1" t="shared" si="15"/>
        <v>3.82134010320846</v>
      </c>
    </row>
    <row r="488" hidden="1" spans="1:8">
      <c r="A488" s="3">
        <f>VLOOKUP(B488,Sheet2!$A$1:$B$31,2,0)</f>
        <v>22</v>
      </c>
      <c r="B488" s="3" t="s">
        <v>29</v>
      </c>
      <c r="C488" s="3">
        <v>2015</v>
      </c>
      <c r="D488" s="3">
        <v>28778.8</v>
      </c>
      <c r="E488" s="3">
        <v>22955.2</v>
      </c>
      <c r="F488" s="3">
        <f ca="1" t="shared" si="14"/>
        <v>51734</v>
      </c>
      <c r="G488" s="3">
        <v>16040.5</v>
      </c>
      <c r="H488" s="3">
        <f ca="1" t="shared" si="15"/>
        <v>3.22521118419002</v>
      </c>
    </row>
    <row r="489" hidden="1" spans="1:8">
      <c r="A489" s="3">
        <f>VLOOKUP(B489,Sheet2!$A$1:$B$31,2,0)</f>
        <v>23</v>
      </c>
      <c r="B489" s="3" t="s">
        <v>30</v>
      </c>
      <c r="C489" s="3">
        <v>2015</v>
      </c>
      <c r="D489" s="3">
        <v>59474.3</v>
      </c>
      <c r="E489" s="3">
        <v>38704</v>
      </c>
      <c r="F489" s="3">
        <f ca="1" t="shared" si="14"/>
        <v>98178.3</v>
      </c>
      <c r="G489" s="3">
        <v>30342</v>
      </c>
      <c r="H489" s="3">
        <f ca="1" t="shared" si="15"/>
        <v>3.23572276052996</v>
      </c>
    </row>
    <row r="490" hidden="1" spans="1:8">
      <c r="A490" s="3">
        <f>VLOOKUP(B490,Sheet2!$A$1:$B$31,2,0)</f>
        <v>24</v>
      </c>
      <c r="B490" s="3" t="s">
        <v>31</v>
      </c>
      <c r="C490" s="3">
        <v>2015</v>
      </c>
      <c r="D490" s="3">
        <v>19438.6</v>
      </c>
      <c r="E490" s="3">
        <v>15051.9</v>
      </c>
      <c r="F490" s="3">
        <f ca="1" t="shared" si="14"/>
        <v>34490.5</v>
      </c>
      <c r="G490" s="3">
        <v>10541</v>
      </c>
      <c r="H490" s="3">
        <f ca="1" t="shared" si="15"/>
        <v>3.27203301394555</v>
      </c>
    </row>
    <row r="491" hidden="1" spans="1:8">
      <c r="A491" s="3">
        <f>VLOOKUP(B491,Sheet2!$A$1:$B$31,2,0)</f>
        <v>25</v>
      </c>
      <c r="B491" s="3" t="s">
        <v>32</v>
      </c>
      <c r="C491" s="3">
        <v>2015</v>
      </c>
      <c r="D491" s="3">
        <v>25035.1</v>
      </c>
      <c r="E491" s="3">
        <v>20842.9</v>
      </c>
      <c r="F491" s="3">
        <f ca="1" t="shared" si="14"/>
        <v>45878</v>
      </c>
      <c r="G491" s="3">
        <v>14960</v>
      </c>
      <c r="H491" s="3">
        <f ca="1" t="shared" si="15"/>
        <v>3.06671122994652</v>
      </c>
    </row>
    <row r="492" hidden="1" spans="1:8">
      <c r="A492" s="3">
        <f>VLOOKUP(B492,Sheet2!$A$1:$B$31,2,0)</f>
        <v>26</v>
      </c>
      <c r="B492" s="3" t="s">
        <v>33</v>
      </c>
      <c r="C492" s="3">
        <v>2015</v>
      </c>
      <c r="D492" s="3">
        <v>3663.85</v>
      </c>
      <c r="E492" s="3">
        <v>2120.33</v>
      </c>
      <c r="F492" s="3">
        <f ca="1" t="shared" si="14"/>
        <v>5784.18</v>
      </c>
      <c r="G492" s="3">
        <v>1043</v>
      </c>
      <c r="H492" s="3">
        <f ca="1" t="shared" si="15"/>
        <v>5.54571428571429</v>
      </c>
    </row>
    <row r="493" hidden="1" spans="1:8">
      <c r="A493" s="3">
        <f>VLOOKUP(B493,Sheet2!$A$1:$B$31,2,0)</f>
        <v>27</v>
      </c>
      <c r="B493" s="3" t="s">
        <v>34</v>
      </c>
      <c r="C493" s="3">
        <v>2015</v>
      </c>
      <c r="D493" s="3">
        <v>32415.2</v>
      </c>
      <c r="E493" s="3">
        <v>21760.6</v>
      </c>
      <c r="F493" s="3">
        <f ca="1" t="shared" si="14"/>
        <v>54175.8</v>
      </c>
      <c r="G493" s="3">
        <v>17898.8</v>
      </c>
      <c r="H493" s="3">
        <f ca="1" t="shared" si="15"/>
        <v>3.02678391847498</v>
      </c>
    </row>
    <row r="494" hidden="1" spans="1:8">
      <c r="A494" s="3">
        <f>VLOOKUP(B494,Sheet2!$A$1:$B$31,2,0)</f>
        <v>28</v>
      </c>
      <c r="B494" s="3" t="s">
        <v>35</v>
      </c>
      <c r="C494" s="3">
        <v>2015</v>
      </c>
      <c r="D494" s="3">
        <v>16299.5</v>
      </c>
      <c r="E494" s="3">
        <v>13728.9</v>
      </c>
      <c r="F494" s="3">
        <f ca="1" t="shared" si="14"/>
        <v>30028.4</v>
      </c>
      <c r="G494" s="3">
        <v>6556.55</v>
      </c>
      <c r="H494" s="3">
        <f ca="1" t="shared" si="15"/>
        <v>4.57990864097734</v>
      </c>
    </row>
    <row r="495" hidden="1" spans="1:8">
      <c r="A495" s="3">
        <f>VLOOKUP(B495,Sheet2!$A$1:$B$31,2,0)</f>
        <v>29</v>
      </c>
      <c r="B495" s="3" t="s">
        <v>36</v>
      </c>
      <c r="C495" s="3">
        <v>2015</v>
      </c>
      <c r="D495" s="3">
        <v>5212.8</v>
      </c>
      <c r="E495" s="3">
        <v>4988.01</v>
      </c>
      <c r="F495" s="3">
        <f ca="1" t="shared" si="14"/>
        <v>10200.81</v>
      </c>
      <c r="G495" s="3">
        <v>2011.02</v>
      </c>
      <c r="H495" s="3">
        <f ca="1" t="shared" si="15"/>
        <v>5.07245576871438</v>
      </c>
    </row>
    <row r="496" hidden="1" spans="1:8">
      <c r="A496" s="3">
        <f>VLOOKUP(B496,Sheet2!$A$1:$B$31,2,0)</f>
        <v>30</v>
      </c>
      <c r="B496" s="3" t="s">
        <v>37</v>
      </c>
      <c r="C496" s="3">
        <v>2015</v>
      </c>
      <c r="D496" s="3">
        <v>4805.15</v>
      </c>
      <c r="E496" s="3">
        <v>5117.82</v>
      </c>
      <c r="F496" s="3">
        <f ca="1" t="shared" si="14"/>
        <v>9922.97</v>
      </c>
      <c r="G496" s="3">
        <v>2579.4</v>
      </c>
      <c r="H496" s="3">
        <f ca="1" t="shared" si="15"/>
        <v>3.84700705590447</v>
      </c>
    </row>
    <row r="497" hidden="1" spans="1:8">
      <c r="A497" s="3">
        <f>VLOOKUP(B497,Sheet2!$A$1:$B$31,2,0)</f>
        <v>31</v>
      </c>
      <c r="B497" s="3" t="s">
        <v>38</v>
      </c>
      <c r="C497" s="3">
        <v>2015</v>
      </c>
      <c r="D497" s="3">
        <v>17124</v>
      </c>
      <c r="E497" s="3">
        <v>13041</v>
      </c>
      <c r="F497" s="3">
        <f ca="1" t="shared" si="14"/>
        <v>30165</v>
      </c>
      <c r="G497" s="3">
        <v>9306.9</v>
      </c>
      <c r="H497" s="3">
        <f ca="1" t="shared" si="15"/>
        <v>3.24114366760146</v>
      </c>
    </row>
    <row r="498" hidden="1" spans="1:8">
      <c r="A498" s="3">
        <f>VLOOKUP(B498,Sheet2!$A$1:$B$31,2,0)</f>
        <v>1</v>
      </c>
      <c r="B498" s="3" t="s">
        <v>8</v>
      </c>
      <c r="C498" s="3">
        <v>2016</v>
      </c>
      <c r="D498" s="3">
        <v>138409</v>
      </c>
      <c r="E498" s="3">
        <v>63739.4</v>
      </c>
      <c r="F498" s="3">
        <f ca="1" t="shared" si="14"/>
        <v>202148.4</v>
      </c>
      <c r="G498" s="3">
        <v>27041.2</v>
      </c>
      <c r="H498" s="3">
        <f ca="1" t="shared" si="15"/>
        <v>7.47557061077171</v>
      </c>
    </row>
    <row r="499" hidden="1" spans="1:8">
      <c r="A499" s="3">
        <f>VLOOKUP(B499,Sheet2!$A$1:$B$31,2,0)</f>
        <v>2</v>
      </c>
      <c r="B499" s="3" t="s">
        <v>9</v>
      </c>
      <c r="C499" s="3">
        <v>2016</v>
      </c>
      <c r="D499" s="3">
        <v>30067</v>
      </c>
      <c r="E499" s="3">
        <v>28754</v>
      </c>
      <c r="F499" s="3">
        <f ca="1" t="shared" si="14"/>
        <v>58821</v>
      </c>
      <c r="G499" s="3">
        <v>11477.2</v>
      </c>
      <c r="H499" s="3">
        <f ca="1" t="shared" si="15"/>
        <v>5.12503049524274</v>
      </c>
    </row>
    <row r="500" spans="1:8">
      <c r="A500" s="3">
        <f>VLOOKUP(B500,Sheet2!$A$1:$B$31,2,0)</f>
        <v>3</v>
      </c>
      <c r="B500" s="3" t="s">
        <v>10</v>
      </c>
      <c r="C500" s="3">
        <v>2016</v>
      </c>
      <c r="D500" s="3">
        <v>55928.9</v>
      </c>
      <c r="E500" s="3">
        <v>37745.9</v>
      </c>
      <c r="F500" s="3">
        <f ca="1" t="shared" si="14"/>
        <v>93674.8</v>
      </c>
      <c r="G500" s="3">
        <v>28474.1</v>
      </c>
      <c r="H500" s="3">
        <f ca="1" t="shared" si="15"/>
        <v>3.2898247881408</v>
      </c>
    </row>
    <row r="501" hidden="1" spans="1:8">
      <c r="A501" s="3">
        <f>VLOOKUP(B501,Sheet2!$A$1:$B$31,2,0)</f>
        <v>4</v>
      </c>
      <c r="B501" s="3" t="s">
        <v>11</v>
      </c>
      <c r="C501" s="3">
        <v>2016</v>
      </c>
      <c r="D501" s="3">
        <v>30371.4</v>
      </c>
      <c r="E501" s="3">
        <v>20228.6</v>
      </c>
      <c r="F501" s="3">
        <f ca="1" t="shared" si="14"/>
        <v>50600</v>
      </c>
      <c r="G501" s="3">
        <v>11946.4</v>
      </c>
      <c r="H501" s="3">
        <f ca="1" t="shared" si="15"/>
        <v>4.23558561575035</v>
      </c>
    </row>
    <row r="502" hidden="1" spans="1:8">
      <c r="A502" s="3">
        <f>VLOOKUP(B502,Sheet2!$A$1:$B$31,2,0)</f>
        <v>5</v>
      </c>
      <c r="B502" s="3" t="s">
        <v>12</v>
      </c>
      <c r="C502" s="3">
        <v>2016</v>
      </c>
      <c r="D502" s="3">
        <v>21165.6</v>
      </c>
      <c r="E502" s="3">
        <v>19361</v>
      </c>
      <c r="F502" s="3">
        <f ca="1" t="shared" si="14"/>
        <v>40526.6</v>
      </c>
      <c r="G502" s="3">
        <v>13789.3</v>
      </c>
      <c r="H502" s="3">
        <f ca="1" t="shared" si="15"/>
        <v>2.9389889261964</v>
      </c>
    </row>
    <row r="503" hidden="1" spans="1:8">
      <c r="A503" s="3">
        <f>VLOOKUP(B503,Sheet2!$A$1:$B$31,2,0)</f>
        <v>6</v>
      </c>
      <c r="B503" s="3" t="s">
        <v>13</v>
      </c>
      <c r="C503" s="3">
        <v>2016</v>
      </c>
      <c r="D503" s="3">
        <v>51692.5</v>
      </c>
      <c r="E503" s="3">
        <v>38685.6</v>
      </c>
      <c r="F503" s="3">
        <f ca="1" t="shared" si="14"/>
        <v>90378.1</v>
      </c>
      <c r="G503" s="3">
        <v>20392.5</v>
      </c>
      <c r="H503" s="3">
        <f ca="1" t="shared" si="15"/>
        <v>4.43192840505088</v>
      </c>
    </row>
    <row r="504" hidden="1" spans="1:8">
      <c r="A504" s="3">
        <f>VLOOKUP(B504,Sheet2!$A$1:$B$31,2,0)</f>
        <v>7</v>
      </c>
      <c r="B504" s="3" t="s">
        <v>14</v>
      </c>
      <c r="C504" s="3">
        <v>2016</v>
      </c>
      <c r="D504" s="3">
        <v>21003.9</v>
      </c>
      <c r="E504" s="3">
        <v>17141.1</v>
      </c>
      <c r="F504" s="3">
        <f ca="1" t="shared" si="14"/>
        <v>38145</v>
      </c>
      <c r="G504" s="3">
        <v>10427</v>
      </c>
      <c r="H504" s="3">
        <f ca="1" t="shared" si="15"/>
        <v>3.65829097535245</v>
      </c>
    </row>
    <row r="505" hidden="1" spans="1:8">
      <c r="A505" s="3">
        <f>VLOOKUP(B505,Sheet2!$A$1:$B$31,2,0)</f>
        <v>8</v>
      </c>
      <c r="B505" s="3" t="s">
        <v>15</v>
      </c>
      <c r="C505" s="3">
        <v>2016</v>
      </c>
      <c r="D505" s="3">
        <v>22179</v>
      </c>
      <c r="E505" s="3">
        <v>17725</v>
      </c>
      <c r="F505" s="3">
        <f ca="1" t="shared" si="14"/>
        <v>39904</v>
      </c>
      <c r="G505" s="3">
        <v>11895</v>
      </c>
      <c r="H505" s="3">
        <f ca="1" t="shared" si="15"/>
        <v>3.35468684321143</v>
      </c>
    </row>
    <row r="506" hidden="1" spans="1:8">
      <c r="A506" s="3">
        <f>VLOOKUP(B506,Sheet2!$A$1:$B$31,2,0)</f>
        <v>9</v>
      </c>
      <c r="B506" s="3" t="s">
        <v>16</v>
      </c>
      <c r="C506" s="3">
        <v>2016</v>
      </c>
      <c r="D506" s="3">
        <v>110511</v>
      </c>
      <c r="E506" s="3">
        <v>59982.3</v>
      </c>
      <c r="F506" s="3">
        <f ca="1" t="shared" si="14"/>
        <v>170493.3</v>
      </c>
      <c r="G506" s="3">
        <v>29887</v>
      </c>
      <c r="H506" s="3">
        <f ca="1" t="shared" si="15"/>
        <v>5.70459731655904</v>
      </c>
    </row>
    <row r="507" hidden="1" spans="1:8">
      <c r="A507" s="3">
        <f>VLOOKUP(B507,Sheet2!$A$1:$B$31,2,0)</f>
        <v>10</v>
      </c>
      <c r="B507" s="3" t="s">
        <v>17</v>
      </c>
      <c r="C507" s="3">
        <v>2016</v>
      </c>
      <c r="D507" s="3">
        <v>121107</v>
      </c>
      <c r="E507" s="3">
        <v>91107.6</v>
      </c>
      <c r="F507" s="3">
        <f ca="1" t="shared" si="14"/>
        <v>212214.6</v>
      </c>
      <c r="G507" s="3">
        <v>77350.9</v>
      </c>
      <c r="H507" s="3">
        <f ca="1" t="shared" si="15"/>
        <v>2.74353110306409</v>
      </c>
    </row>
    <row r="508" hidden="1" spans="1:8">
      <c r="A508" s="3">
        <f>VLOOKUP(B508,Sheet2!$A$1:$B$31,2,0)</f>
        <v>11</v>
      </c>
      <c r="B508" s="3" t="s">
        <v>18</v>
      </c>
      <c r="C508" s="3">
        <v>2016</v>
      </c>
      <c r="D508" s="3">
        <v>99530.3</v>
      </c>
      <c r="E508" s="3">
        <v>81804.5</v>
      </c>
      <c r="F508" s="3">
        <f ca="1" t="shared" si="14"/>
        <v>181334.8</v>
      </c>
      <c r="G508" s="3">
        <v>47254</v>
      </c>
      <c r="H508" s="3">
        <f ca="1" t="shared" si="15"/>
        <v>3.83744868159309</v>
      </c>
    </row>
    <row r="509" hidden="1" spans="1:8">
      <c r="A509" s="3">
        <f>VLOOKUP(B509,Sheet2!$A$1:$B$31,2,0)</f>
        <v>12</v>
      </c>
      <c r="B509" s="3" t="s">
        <v>19</v>
      </c>
      <c r="C509" s="3">
        <v>2016</v>
      </c>
      <c r="D509" s="3">
        <v>41324.3</v>
      </c>
      <c r="E509" s="3">
        <v>30774.5</v>
      </c>
      <c r="F509" s="3">
        <f ca="1" t="shared" si="14"/>
        <v>72098.8</v>
      </c>
      <c r="G509" s="3">
        <v>26307.7</v>
      </c>
      <c r="H509" s="3">
        <f ca="1" t="shared" si="15"/>
        <v>2.7405968594746</v>
      </c>
    </row>
    <row r="510" hidden="1" spans="1:8">
      <c r="A510" s="3">
        <f>VLOOKUP(B510,Sheet2!$A$1:$B$31,2,0)</f>
        <v>13</v>
      </c>
      <c r="B510" s="3" t="s">
        <v>20</v>
      </c>
      <c r="C510" s="3">
        <v>2016</v>
      </c>
      <c r="D510" s="3">
        <v>39275.8</v>
      </c>
      <c r="E510" s="3">
        <v>36356.1</v>
      </c>
      <c r="F510" s="3">
        <f ca="1" t="shared" si="14"/>
        <v>75631.9</v>
      </c>
      <c r="G510" s="3">
        <v>29609.4</v>
      </c>
      <c r="H510" s="3">
        <f ca="1" t="shared" si="15"/>
        <v>2.55432058738103</v>
      </c>
    </row>
    <row r="511" hidden="1" spans="1:8">
      <c r="A511" s="3">
        <f>VLOOKUP(B511,Sheet2!$A$1:$B$31,2,0)</f>
        <v>14</v>
      </c>
      <c r="B511" s="3" t="s">
        <v>21</v>
      </c>
      <c r="C511" s="3">
        <v>2016</v>
      </c>
      <c r="D511" s="3">
        <v>29105.2</v>
      </c>
      <c r="E511" s="3">
        <v>21847.4</v>
      </c>
      <c r="F511" s="3">
        <f ca="1" t="shared" si="14"/>
        <v>50952.6</v>
      </c>
      <c r="G511" s="3">
        <v>18388.6</v>
      </c>
      <c r="H511" s="3">
        <f ca="1" t="shared" si="15"/>
        <v>2.77087978421413</v>
      </c>
    </row>
    <row r="512" hidden="1" spans="1:8">
      <c r="A512" s="3">
        <f>VLOOKUP(B512,Sheet2!$A$1:$B$31,2,0)</f>
        <v>15</v>
      </c>
      <c r="B512" s="3" t="s">
        <v>22</v>
      </c>
      <c r="C512" s="3">
        <v>2016</v>
      </c>
      <c r="D512" s="3">
        <v>83414.9</v>
      </c>
      <c r="E512" s="3">
        <v>61726.9</v>
      </c>
      <c r="F512" s="3">
        <f ca="1" t="shared" si="14"/>
        <v>145141.8</v>
      </c>
      <c r="G512" s="3">
        <v>58762.5</v>
      </c>
      <c r="H512" s="3">
        <f ca="1" t="shared" si="15"/>
        <v>2.46997319719209</v>
      </c>
    </row>
    <row r="513" hidden="1" spans="1:8">
      <c r="A513" s="3">
        <f>VLOOKUP(B513,Sheet2!$A$1:$B$31,2,0)</f>
        <v>16</v>
      </c>
      <c r="B513" s="3" t="s">
        <v>23</v>
      </c>
      <c r="C513" s="3">
        <v>2016</v>
      </c>
      <c r="D513" s="3">
        <v>53977.6</v>
      </c>
      <c r="E513" s="3">
        <v>36501.2</v>
      </c>
      <c r="F513" s="3">
        <f ca="1" t="shared" si="14"/>
        <v>90478.8</v>
      </c>
      <c r="G513" s="3">
        <v>40249.3</v>
      </c>
      <c r="H513" s="3">
        <f ca="1" t="shared" si="15"/>
        <v>2.24795959184383</v>
      </c>
    </row>
    <row r="514" hidden="1" spans="1:8">
      <c r="A514" s="3">
        <f>VLOOKUP(B514,Sheet2!$A$1:$B$31,2,0)</f>
        <v>17</v>
      </c>
      <c r="B514" s="3" t="s">
        <v>24</v>
      </c>
      <c r="C514" s="3">
        <v>2016</v>
      </c>
      <c r="D514" s="3">
        <v>47284.9</v>
      </c>
      <c r="E514" s="3">
        <v>34530.7</v>
      </c>
      <c r="F514" s="3">
        <f ca="1" t="shared" ref="F514:F577" si="16">D514+E514</f>
        <v>81815.6</v>
      </c>
      <c r="G514" s="3">
        <v>33353</v>
      </c>
      <c r="H514" s="3">
        <f ca="1" t="shared" ref="H514:H577" si="17">F514/G514</f>
        <v>2.45302071777651</v>
      </c>
    </row>
    <row r="515" hidden="1" spans="1:8">
      <c r="A515" s="3">
        <f>VLOOKUP(B515,Sheet2!$A$1:$B$31,2,0)</f>
        <v>18</v>
      </c>
      <c r="B515" s="3" t="s">
        <v>25</v>
      </c>
      <c r="C515" s="3">
        <v>2016</v>
      </c>
      <c r="D515" s="3">
        <v>41996.7</v>
      </c>
      <c r="E515" s="3">
        <v>27532.3</v>
      </c>
      <c r="F515" s="3">
        <f ca="1" t="shared" si="16"/>
        <v>69529</v>
      </c>
      <c r="G515" s="3">
        <v>30853.4</v>
      </c>
      <c r="H515" s="3">
        <f ca="1" t="shared" si="17"/>
        <v>2.2535279742265</v>
      </c>
    </row>
    <row r="516" hidden="1" spans="1:8">
      <c r="A516" s="3">
        <f>VLOOKUP(B516,Sheet2!$A$1:$B$31,2,0)</f>
        <v>19</v>
      </c>
      <c r="B516" s="3" t="s">
        <v>26</v>
      </c>
      <c r="C516" s="3">
        <v>2016</v>
      </c>
      <c r="D516" s="3">
        <v>179829</v>
      </c>
      <c r="E516" s="3">
        <v>171024</v>
      </c>
      <c r="F516" s="3">
        <f ca="1" t="shared" si="16"/>
        <v>350853</v>
      </c>
      <c r="G516" s="3">
        <v>82163.2</v>
      </c>
      <c r="H516" s="3">
        <f ca="1" t="shared" si="17"/>
        <v>4.27019638962455</v>
      </c>
    </row>
    <row r="517" hidden="1" spans="1:8">
      <c r="A517" s="3">
        <f>VLOOKUP(B517,Sheet2!$A$1:$B$31,2,0)</f>
        <v>20</v>
      </c>
      <c r="B517" s="3" t="s">
        <v>27</v>
      </c>
      <c r="C517" s="3">
        <v>2016</v>
      </c>
      <c r="D517" s="3">
        <v>25477.8</v>
      </c>
      <c r="E517" s="3">
        <v>20640.5</v>
      </c>
      <c r="F517" s="3">
        <f ca="1" t="shared" si="16"/>
        <v>46118.3</v>
      </c>
      <c r="G517" s="3">
        <v>16116.5</v>
      </c>
      <c r="H517" s="3">
        <f ca="1" t="shared" si="17"/>
        <v>2.86155803058977</v>
      </c>
    </row>
    <row r="518" hidden="1" spans="1:8">
      <c r="A518" s="3">
        <f>VLOOKUP(B518,Sheet2!$A$1:$B$31,2,0)</f>
        <v>21</v>
      </c>
      <c r="B518" s="3" t="s">
        <v>28</v>
      </c>
      <c r="C518" s="3">
        <v>2016</v>
      </c>
      <c r="D518" s="3">
        <v>9080.13</v>
      </c>
      <c r="E518" s="3">
        <v>7672.98</v>
      </c>
      <c r="F518" s="3">
        <f ca="1" t="shared" si="16"/>
        <v>16753.11</v>
      </c>
      <c r="G518" s="3">
        <v>4090.2</v>
      </c>
      <c r="H518" s="3">
        <f ca="1" t="shared" si="17"/>
        <v>4.0959146252017</v>
      </c>
    </row>
    <row r="519" hidden="1" spans="1:8">
      <c r="A519" s="3">
        <f>VLOOKUP(B519,Sheet2!$A$1:$B$31,2,0)</f>
        <v>22</v>
      </c>
      <c r="B519" s="3" t="s">
        <v>29</v>
      </c>
      <c r="C519" s="3">
        <v>2016</v>
      </c>
      <c r="D519" s="3">
        <v>32160.1</v>
      </c>
      <c r="E519" s="3">
        <v>25524.2</v>
      </c>
      <c r="F519" s="3">
        <f ca="1" t="shared" si="16"/>
        <v>57684.3</v>
      </c>
      <c r="G519" s="3">
        <v>18023</v>
      </c>
      <c r="H519" s="3">
        <f ca="1" t="shared" si="17"/>
        <v>3.20059368584586</v>
      </c>
    </row>
    <row r="520" hidden="1" spans="1:8">
      <c r="A520" s="3">
        <f>VLOOKUP(B520,Sheet2!$A$1:$B$31,2,0)</f>
        <v>23</v>
      </c>
      <c r="B520" s="3" t="s">
        <v>30</v>
      </c>
      <c r="C520" s="3">
        <v>2016</v>
      </c>
      <c r="D520" s="3">
        <v>66892.4</v>
      </c>
      <c r="E520" s="3">
        <v>43543</v>
      </c>
      <c r="F520" s="3">
        <f ca="1" t="shared" si="16"/>
        <v>110435.4</v>
      </c>
      <c r="G520" s="3">
        <v>33138.5</v>
      </c>
      <c r="H520" s="3">
        <f ca="1" t="shared" si="17"/>
        <v>3.3325407003938</v>
      </c>
    </row>
    <row r="521" hidden="1" spans="1:8">
      <c r="A521" s="3">
        <f>VLOOKUP(B521,Sheet2!$A$1:$B$31,2,0)</f>
        <v>24</v>
      </c>
      <c r="B521" s="3" t="s">
        <v>31</v>
      </c>
      <c r="C521" s="3">
        <v>2016</v>
      </c>
      <c r="D521" s="3">
        <v>23770.9</v>
      </c>
      <c r="E521" s="3">
        <v>17857.8</v>
      </c>
      <c r="F521" s="3">
        <f ca="1" t="shared" si="16"/>
        <v>41628.7</v>
      </c>
      <c r="G521" s="3">
        <v>11792.3</v>
      </c>
      <c r="H521" s="3">
        <f ca="1" t="shared" si="17"/>
        <v>3.53015951086726</v>
      </c>
    </row>
    <row r="522" hidden="1" spans="1:8">
      <c r="A522" s="3">
        <f>VLOOKUP(B522,Sheet2!$A$1:$B$31,2,0)</f>
        <v>25</v>
      </c>
      <c r="B522" s="3" t="s">
        <v>32</v>
      </c>
      <c r="C522" s="3">
        <v>2016</v>
      </c>
      <c r="D522" s="3">
        <v>27726.1</v>
      </c>
      <c r="E522" s="3">
        <v>23056.3</v>
      </c>
      <c r="F522" s="3">
        <f ca="1" t="shared" si="16"/>
        <v>50782.4</v>
      </c>
      <c r="G522" s="3">
        <v>16369</v>
      </c>
      <c r="H522" s="3">
        <f ca="1" t="shared" si="17"/>
        <v>3.1023520068422</v>
      </c>
    </row>
    <row r="523" hidden="1" spans="1:8">
      <c r="A523" s="3">
        <f>VLOOKUP(B523,Sheet2!$A$1:$B$31,2,0)</f>
        <v>26</v>
      </c>
      <c r="B523" s="3" t="s">
        <v>33</v>
      </c>
      <c r="C523" s="3">
        <v>2016</v>
      </c>
      <c r="D523" s="3">
        <v>4371.55</v>
      </c>
      <c r="E523" s="3">
        <v>3045.77</v>
      </c>
      <c r="F523" s="3">
        <f ca="1" t="shared" si="16"/>
        <v>7417.32</v>
      </c>
      <c r="G523" s="3">
        <v>1173</v>
      </c>
      <c r="H523" s="3">
        <f ca="1" t="shared" si="17"/>
        <v>6.32337595907928</v>
      </c>
    </row>
    <row r="524" hidden="1" spans="1:8">
      <c r="A524" s="3">
        <f>VLOOKUP(B524,Sheet2!$A$1:$B$31,2,0)</f>
        <v>27</v>
      </c>
      <c r="B524" s="3" t="s">
        <v>34</v>
      </c>
      <c r="C524" s="3">
        <v>2016</v>
      </c>
      <c r="D524" s="3">
        <v>35255.5</v>
      </c>
      <c r="E524" s="3">
        <v>23921.8</v>
      </c>
      <c r="F524" s="3">
        <f ca="1" t="shared" si="16"/>
        <v>59177.3</v>
      </c>
      <c r="G524" s="3">
        <v>19045.8</v>
      </c>
      <c r="H524" s="3">
        <f ca="1" t="shared" si="17"/>
        <v>3.10710497852545</v>
      </c>
    </row>
    <row r="525" hidden="1" spans="1:8">
      <c r="A525" s="3">
        <f>VLOOKUP(B525,Sheet2!$A$1:$B$31,2,0)</f>
        <v>28</v>
      </c>
      <c r="B525" s="3" t="s">
        <v>35</v>
      </c>
      <c r="C525" s="3">
        <v>2016</v>
      </c>
      <c r="D525" s="3">
        <v>17515.7</v>
      </c>
      <c r="E525" s="3">
        <v>15926.4</v>
      </c>
      <c r="F525" s="3">
        <f ca="1" t="shared" si="16"/>
        <v>33442.1</v>
      </c>
      <c r="G525" s="3">
        <v>6907.91</v>
      </c>
      <c r="H525" s="3">
        <f ca="1" t="shared" si="17"/>
        <v>4.841131398643</v>
      </c>
    </row>
    <row r="526" hidden="1" spans="1:8">
      <c r="A526" s="3">
        <f>VLOOKUP(B526,Sheet2!$A$1:$B$31,2,0)</f>
        <v>29</v>
      </c>
      <c r="B526" s="3" t="s">
        <v>36</v>
      </c>
      <c r="C526" s="3">
        <v>2016</v>
      </c>
      <c r="D526" s="3">
        <v>5570.17</v>
      </c>
      <c r="E526" s="3">
        <v>5579.76</v>
      </c>
      <c r="F526" s="3">
        <f ca="1" t="shared" si="16"/>
        <v>11149.93</v>
      </c>
      <c r="G526" s="3">
        <v>2258.19</v>
      </c>
      <c r="H526" s="3">
        <f ca="1" t="shared" si="17"/>
        <v>4.93755175605241</v>
      </c>
    </row>
    <row r="527" hidden="1" spans="1:8">
      <c r="A527" s="3">
        <f>VLOOKUP(B527,Sheet2!$A$1:$B$31,2,0)</f>
        <v>30</v>
      </c>
      <c r="B527" s="3" t="s">
        <v>37</v>
      </c>
      <c r="C527" s="3">
        <v>2016</v>
      </c>
      <c r="D527" s="3">
        <v>5441.54</v>
      </c>
      <c r="E527" s="3">
        <v>5667.89</v>
      </c>
      <c r="F527" s="3">
        <f ca="1" t="shared" si="16"/>
        <v>11109.43</v>
      </c>
      <c r="G527" s="3">
        <v>2781.4</v>
      </c>
      <c r="H527" s="3">
        <f ca="1" t="shared" si="17"/>
        <v>3.99418638095923</v>
      </c>
    </row>
    <row r="528" hidden="1" spans="1:8">
      <c r="A528" s="3">
        <f>VLOOKUP(B528,Sheet2!$A$1:$B$31,2,0)</f>
        <v>31</v>
      </c>
      <c r="B528" s="3" t="s">
        <v>38</v>
      </c>
      <c r="C528" s="3">
        <v>2016</v>
      </c>
      <c r="D528" s="3">
        <v>18747.6</v>
      </c>
      <c r="E528" s="3">
        <v>14552.7</v>
      </c>
      <c r="F528" s="3">
        <f ca="1" t="shared" si="16"/>
        <v>33300.3</v>
      </c>
      <c r="G528" s="3">
        <v>9630.8</v>
      </c>
      <c r="H528" s="3">
        <f ca="1" t="shared" si="17"/>
        <v>3.45768783486315</v>
      </c>
    </row>
    <row r="529" hidden="1" spans="1:8">
      <c r="A529" s="3">
        <f>VLOOKUP(B529,Sheet2!$A$1:$B$31,2,0)</f>
        <v>1</v>
      </c>
      <c r="B529" s="3" t="s">
        <v>8</v>
      </c>
      <c r="C529" s="3">
        <v>2017</v>
      </c>
      <c r="D529" s="3">
        <v>144086</v>
      </c>
      <c r="E529" s="3">
        <v>69556.2</v>
      </c>
      <c r="F529" s="3">
        <f ca="1" t="shared" si="16"/>
        <v>213642.2</v>
      </c>
      <c r="G529" s="3">
        <v>29883</v>
      </c>
      <c r="H529" s="3">
        <f ca="1" t="shared" si="17"/>
        <v>7.14928889335074</v>
      </c>
    </row>
    <row r="530" hidden="1" spans="1:8">
      <c r="A530" s="3">
        <f>VLOOKUP(B530,Sheet2!$A$1:$B$31,2,0)</f>
        <v>2</v>
      </c>
      <c r="B530" s="3" t="s">
        <v>9</v>
      </c>
      <c r="C530" s="3">
        <v>2017</v>
      </c>
      <c r="D530" s="3">
        <v>30940.8</v>
      </c>
      <c r="E530" s="3">
        <v>31602.5</v>
      </c>
      <c r="F530" s="3">
        <f ca="1" t="shared" si="16"/>
        <v>62543.3</v>
      </c>
      <c r="G530" s="3">
        <v>12450.6</v>
      </c>
      <c r="H530" s="3">
        <f ca="1" t="shared" si="17"/>
        <v>5.02331614540665</v>
      </c>
    </row>
    <row r="531" spans="1:8">
      <c r="A531" s="3">
        <f>VLOOKUP(B531,Sheet2!$A$1:$B$31,2,0)</f>
        <v>3</v>
      </c>
      <c r="B531" s="3" t="s">
        <v>10</v>
      </c>
      <c r="C531" s="3">
        <v>2017</v>
      </c>
      <c r="D531" s="3">
        <v>60451.3</v>
      </c>
      <c r="E531" s="3">
        <v>43315.3</v>
      </c>
      <c r="F531" s="3">
        <f ca="1" t="shared" si="16"/>
        <v>103766.6</v>
      </c>
      <c r="G531" s="3">
        <v>30640.8</v>
      </c>
      <c r="H531" s="3">
        <f ca="1" t="shared" si="17"/>
        <v>3.38654995953108</v>
      </c>
    </row>
    <row r="532" hidden="1" spans="1:8">
      <c r="A532" s="3">
        <f>VLOOKUP(B532,Sheet2!$A$1:$B$31,2,0)</f>
        <v>4</v>
      </c>
      <c r="B532" s="3" t="s">
        <v>11</v>
      </c>
      <c r="C532" s="3">
        <v>2017</v>
      </c>
      <c r="D532" s="3">
        <v>32480.5</v>
      </c>
      <c r="E532" s="3">
        <v>22463.9</v>
      </c>
      <c r="F532" s="3">
        <f ca="1" t="shared" si="16"/>
        <v>54944.4</v>
      </c>
      <c r="G532" s="3">
        <v>14484.3</v>
      </c>
      <c r="H532" s="3">
        <f ca="1" t="shared" si="17"/>
        <v>3.79337627638201</v>
      </c>
    </row>
    <row r="533" hidden="1" spans="1:8">
      <c r="A533" s="3">
        <f>VLOOKUP(B533,Sheet2!$A$1:$B$31,2,0)</f>
        <v>5</v>
      </c>
      <c r="B533" s="3" t="s">
        <v>12</v>
      </c>
      <c r="C533" s="3">
        <v>2017</v>
      </c>
      <c r="D533" s="3">
        <v>22952.8</v>
      </c>
      <c r="E533" s="3">
        <v>21456</v>
      </c>
      <c r="F533" s="3">
        <f ca="1" t="shared" si="16"/>
        <v>44408.8</v>
      </c>
      <c r="G533" s="3">
        <v>14898</v>
      </c>
      <c r="H533" s="3">
        <f ca="1" t="shared" si="17"/>
        <v>2.98085649080413</v>
      </c>
    </row>
    <row r="534" hidden="1" spans="1:8">
      <c r="A534" s="3">
        <f>VLOOKUP(B534,Sheet2!$A$1:$B$31,2,0)</f>
        <v>6</v>
      </c>
      <c r="B534" s="3" t="s">
        <v>13</v>
      </c>
      <c r="C534" s="3">
        <v>2017</v>
      </c>
      <c r="D534" s="3">
        <v>54249</v>
      </c>
      <c r="E534" s="3">
        <v>41278.7</v>
      </c>
      <c r="F534" s="3">
        <f ca="1" t="shared" si="16"/>
        <v>95527.7</v>
      </c>
      <c r="G534" s="3">
        <v>21693</v>
      </c>
      <c r="H534" s="3">
        <f ca="1" t="shared" si="17"/>
        <v>4.40361867883649</v>
      </c>
    </row>
    <row r="535" hidden="1" spans="1:8">
      <c r="A535" s="3">
        <f>VLOOKUP(B535,Sheet2!$A$1:$B$31,2,0)</f>
        <v>7</v>
      </c>
      <c r="B535" s="3" t="s">
        <v>14</v>
      </c>
      <c r="C535" s="3">
        <v>2017</v>
      </c>
      <c r="D535" s="3">
        <v>21562.7</v>
      </c>
      <c r="E535" s="3">
        <v>17959.7</v>
      </c>
      <c r="F535" s="3">
        <f ca="1" t="shared" si="16"/>
        <v>39522.4</v>
      </c>
      <c r="G535" s="3">
        <v>10922</v>
      </c>
      <c r="H535" s="3">
        <f ca="1" t="shared" si="17"/>
        <v>3.61860465116279</v>
      </c>
    </row>
    <row r="536" hidden="1" spans="1:8">
      <c r="A536" s="3">
        <f>VLOOKUP(B536,Sheet2!$A$1:$B$31,2,0)</f>
        <v>8</v>
      </c>
      <c r="B536" s="3" t="s">
        <v>15</v>
      </c>
      <c r="C536" s="3">
        <v>2017</v>
      </c>
      <c r="D536" s="3">
        <v>23615.1</v>
      </c>
      <c r="E536" s="3">
        <v>19208.4</v>
      </c>
      <c r="F536" s="3">
        <f ca="1" t="shared" si="16"/>
        <v>42823.5</v>
      </c>
      <c r="G536" s="3">
        <v>12313</v>
      </c>
      <c r="H536" s="3">
        <f ca="1" t="shared" si="17"/>
        <v>3.47790952651669</v>
      </c>
    </row>
    <row r="537" hidden="1" spans="1:8">
      <c r="A537" s="3">
        <f>VLOOKUP(B537,Sheet2!$A$1:$B$31,2,0)</f>
        <v>9</v>
      </c>
      <c r="B537" s="3" t="s">
        <v>16</v>
      </c>
      <c r="C537" s="3">
        <v>2017</v>
      </c>
      <c r="D537" s="3">
        <v>112462</v>
      </c>
      <c r="E537" s="3">
        <v>67182</v>
      </c>
      <c r="F537" s="3">
        <f ca="1" t="shared" si="16"/>
        <v>179644</v>
      </c>
      <c r="G537" s="3">
        <v>32925</v>
      </c>
      <c r="H537" s="3">
        <f ca="1" t="shared" si="17"/>
        <v>5.45615793470008</v>
      </c>
    </row>
    <row r="538" hidden="1" spans="1:8">
      <c r="A538" s="3">
        <f>VLOOKUP(B538,Sheet2!$A$1:$B$31,2,0)</f>
        <v>10</v>
      </c>
      <c r="B538" s="3" t="s">
        <v>17</v>
      </c>
      <c r="C538" s="3">
        <v>2017</v>
      </c>
      <c r="D538" s="3">
        <v>129943</v>
      </c>
      <c r="E538" s="3">
        <v>102113</v>
      </c>
      <c r="F538" s="3">
        <f ca="1" t="shared" si="16"/>
        <v>232056</v>
      </c>
      <c r="G538" s="3">
        <v>85869.8</v>
      </c>
      <c r="H538" s="3">
        <f ca="1" t="shared" si="17"/>
        <v>2.70241691491071</v>
      </c>
    </row>
    <row r="539" hidden="1" spans="1:8">
      <c r="A539" s="3">
        <f>VLOOKUP(B539,Sheet2!$A$1:$B$31,2,0)</f>
        <v>11</v>
      </c>
      <c r="B539" s="3" t="s">
        <v>18</v>
      </c>
      <c r="C539" s="3">
        <v>2017</v>
      </c>
      <c r="D539" s="3">
        <v>107321</v>
      </c>
      <c r="E539" s="3">
        <v>90233.3</v>
      </c>
      <c r="F539" s="3">
        <f ca="1" t="shared" si="16"/>
        <v>197554.3</v>
      </c>
      <c r="G539" s="3">
        <v>52403.1</v>
      </c>
      <c r="H539" s="3">
        <f ca="1" t="shared" si="17"/>
        <v>3.76989720073812</v>
      </c>
    </row>
    <row r="540" hidden="1" spans="1:8">
      <c r="A540" s="3">
        <f>VLOOKUP(B540,Sheet2!$A$1:$B$31,2,0)</f>
        <v>12</v>
      </c>
      <c r="B540" s="3" t="s">
        <v>19</v>
      </c>
      <c r="C540" s="3">
        <v>2017</v>
      </c>
      <c r="D540" s="3">
        <v>46146.9</v>
      </c>
      <c r="E540" s="3">
        <v>35162</v>
      </c>
      <c r="F540" s="3">
        <f ca="1" t="shared" si="16"/>
        <v>81308.9</v>
      </c>
      <c r="G540" s="3">
        <v>29676.2</v>
      </c>
      <c r="H540" s="3">
        <f ca="1" t="shared" si="17"/>
        <v>2.73986898592138</v>
      </c>
    </row>
    <row r="541" hidden="1" spans="1:8">
      <c r="A541" s="3">
        <f>VLOOKUP(B541,Sheet2!$A$1:$B$31,2,0)</f>
        <v>13</v>
      </c>
      <c r="B541" s="3" t="s">
        <v>20</v>
      </c>
      <c r="C541" s="3">
        <v>2017</v>
      </c>
      <c r="D541" s="3">
        <v>42794.8</v>
      </c>
      <c r="E541" s="3">
        <v>40484.9</v>
      </c>
      <c r="F541" s="3">
        <f ca="1" t="shared" si="16"/>
        <v>83279.7</v>
      </c>
      <c r="G541" s="3">
        <v>33842.4</v>
      </c>
      <c r="H541" s="3">
        <f ca="1" t="shared" si="17"/>
        <v>2.46080951705553</v>
      </c>
    </row>
    <row r="542" hidden="1" spans="1:8">
      <c r="A542" s="3">
        <f>VLOOKUP(B542,Sheet2!$A$1:$B$31,2,0)</f>
        <v>14</v>
      </c>
      <c r="B542" s="3" t="s">
        <v>21</v>
      </c>
      <c r="C542" s="3">
        <v>2017</v>
      </c>
      <c r="D542" s="3">
        <v>32535.7</v>
      </c>
      <c r="E542" s="3">
        <v>25900.4</v>
      </c>
      <c r="F542" s="3">
        <f ca="1" t="shared" si="16"/>
        <v>58436.1</v>
      </c>
      <c r="G542" s="3">
        <v>20210.8</v>
      </c>
      <c r="H542" s="3">
        <f ca="1" t="shared" si="17"/>
        <v>2.8913303778178</v>
      </c>
    </row>
    <row r="543" hidden="1" spans="1:8">
      <c r="A543" s="3">
        <f>VLOOKUP(B543,Sheet2!$A$1:$B$31,2,0)</f>
        <v>15</v>
      </c>
      <c r="B543" s="3" t="s">
        <v>22</v>
      </c>
      <c r="C543" s="3">
        <v>2017</v>
      </c>
      <c r="D543" s="3">
        <v>88531.7</v>
      </c>
      <c r="E543" s="3">
        <v>67576</v>
      </c>
      <c r="F543" s="3">
        <f ca="1" t="shared" si="16"/>
        <v>156107.7</v>
      </c>
      <c r="G543" s="3">
        <v>63012.1</v>
      </c>
      <c r="H543" s="3">
        <f ca="1" t="shared" si="17"/>
        <v>2.47742417726119</v>
      </c>
    </row>
    <row r="544" hidden="1" spans="1:8">
      <c r="A544" s="3">
        <f>VLOOKUP(B544,Sheet2!$A$1:$B$31,2,0)</f>
        <v>16</v>
      </c>
      <c r="B544" s="3" t="s">
        <v>23</v>
      </c>
      <c r="C544" s="3">
        <v>2017</v>
      </c>
      <c r="D544" s="3">
        <v>59068.7</v>
      </c>
      <c r="E544" s="3">
        <v>41743.3</v>
      </c>
      <c r="F544" s="3">
        <f ca="1" t="shared" si="16"/>
        <v>100812</v>
      </c>
      <c r="G544" s="3">
        <v>44824.9</v>
      </c>
      <c r="H544" s="3">
        <f ca="1" t="shared" si="17"/>
        <v>2.2490178449924</v>
      </c>
    </row>
    <row r="545" hidden="1" spans="1:8">
      <c r="A545" s="3">
        <f>VLOOKUP(B545,Sheet2!$A$1:$B$31,2,0)</f>
        <v>17</v>
      </c>
      <c r="B545" s="3" t="s">
        <v>24</v>
      </c>
      <c r="C545" s="3">
        <v>2017</v>
      </c>
      <c r="D545" s="3">
        <v>51708.3</v>
      </c>
      <c r="E545" s="3">
        <v>38154.9</v>
      </c>
      <c r="F545" s="3">
        <f ca="1" t="shared" si="16"/>
        <v>89863.2</v>
      </c>
      <c r="G545" s="3">
        <v>37235</v>
      </c>
      <c r="H545" s="3">
        <f ca="1" t="shared" si="17"/>
        <v>2.41340674096952</v>
      </c>
    </row>
    <row r="546" hidden="1" spans="1:8">
      <c r="A546" s="3">
        <f>VLOOKUP(B546,Sheet2!$A$1:$B$31,2,0)</f>
        <v>18</v>
      </c>
      <c r="B546" s="3" t="s">
        <v>25</v>
      </c>
      <c r="C546" s="3">
        <v>2017</v>
      </c>
      <c r="D546" s="3">
        <v>46729.3</v>
      </c>
      <c r="E546" s="3">
        <v>31850</v>
      </c>
      <c r="F546" s="3">
        <f ca="1" t="shared" si="16"/>
        <v>78579.3</v>
      </c>
      <c r="G546" s="3">
        <v>33828.1</v>
      </c>
      <c r="H546" s="3">
        <f ca="1" t="shared" si="17"/>
        <v>2.32290019244356</v>
      </c>
    </row>
    <row r="547" hidden="1" spans="1:8">
      <c r="A547" s="3">
        <f>VLOOKUP(B547,Sheet2!$A$1:$B$31,2,0)</f>
        <v>19</v>
      </c>
      <c r="B547" s="3" t="s">
        <v>26</v>
      </c>
      <c r="C547" s="3">
        <v>2017</v>
      </c>
      <c r="D547" s="3">
        <v>194536</v>
      </c>
      <c r="E547" s="3">
        <v>184780</v>
      </c>
      <c r="F547" s="3">
        <f ca="1" t="shared" si="16"/>
        <v>379316</v>
      </c>
      <c r="G547" s="3">
        <v>91648.7</v>
      </c>
      <c r="H547" s="3">
        <f ca="1" t="shared" si="17"/>
        <v>4.13880393284356</v>
      </c>
    </row>
    <row r="548" hidden="1" spans="1:8">
      <c r="A548" s="3">
        <f>VLOOKUP(B548,Sheet2!$A$1:$B$31,2,0)</f>
        <v>20</v>
      </c>
      <c r="B548" s="3" t="s">
        <v>27</v>
      </c>
      <c r="C548" s="3">
        <v>2017</v>
      </c>
      <c r="D548" s="3">
        <v>27899.6</v>
      </c>
      <c r="E548" s="3">
        <v>23226.1</v>
      </c>
      <c r="F548" s="3">
        <f ca="1" t="shared" si="16"/>
        <v>51125.7</v>
      </c>
      <c r="G548" s="3">
        <v>17790.7</v>
      </c>
      <c r="H548" s="3">
        <f ca="1" t="shared" si="17"/>
        <v>2.87373178121153</v>
      </c>
    </row>
    <row r="549" hidden="1" spans="1:8">
      <c r="A549" s="3">
        <f>VLOOKUP(B549,Sheet2!$A$1:$B$31,2,0)</f>
        <v>21</v>
      </c>
      <c r="B549" s="3" t="s">
        <v>28</v>
      </c>
      <c r="C549" s="3">
        <v>2017</v>
      </c>
      <c r="D549" s="3">
        <v>10096.4</v>
      </c>
      <c r="E549" s="3">
        <v>8459.27</v>
      </c>
      <c r="F549" s="3">
        <f ca="1" t="shared" si="16"/>
        <v>18555.67</v>
      </c>
      <c r="G549" s="3">
        <v>4497.54</v>
      </c>
      <c r="H549" s="3">
        <f ca="1" t="shared" si="17"/>
        <v>4.12573762545747</v>
      </c>
    </row>
    <row r="550" hidden="1" spans="1:8">
      <c r="A550" s="3">
        <f>VLOOKUP(B550,Sheet2!$A$1:$B$31,2,0)</f>
        <v>22</v>
      </c>
      <c r="B550" s="3" t="s">
        <v>29</v>
      </c>
      <c r="C550" s="3">
        <v>2017</v>
      </c>
      <c r="D550" s="3">
        <v>34853.5</v>
      </c>
      <c r="E550" s="3">
        <v>28417.5</v>
      </c>
      <c r="F550" s="3">
        <f ca="1" t="shared" si="16"/>
        <v>63271</v>
      </c>
      <c r="G550" s="3">
        <v>20066.3</v>
      </c>
      <c r="H550" s="3">
        <f ca="1" t="shared" si="17"/>
        <v>3.15309748184767</v>
      </c>
    </row>
    <row r="551" hidden="1" spans="1:8">
      <c r="A551" s="3">
        <f>VLOOKUP(B551,Sheet2!$A$1:$B$31,2,0)</f>
        <v>23</v>
      </c>
      <c r="B551" s="3" t="s">
        <v>30</v>
      </c>
      <c r="C551" s="3">
        <v>2017</v>
      </c>
      <c r="D551" s="3">
        <v>73079.4</v>
      </c>
      <c r="E551" s="3">
        <v>49144.1</v>
      </c>
      <c r="F551" s="3">
        <f ca="1" t="shared" si="16"/>
        <v>122223.5</v>
      </c>
      <c r="G551" s="3">
        <v>37905.1</v>
      </c>
      <c r="H551" s="3">
        <f ca="1" t="shared" si="17"/>
        <v>3.2244605607161</v>
      </c>
    </row>
    <row r="552" hidden="1" spans="1:8">
      <c r="A552" s="3">
        <f>VLOOKUP(B552,Sheet2!$A$1:$B$31,2,0)</f>
        <v>24</v>
      </c>
      <c r="B552" s="3" t="s">
        <v>31</v>
      </c>
      <c r="C552" s="3">
        <v>2017</v>
      </c>
      <c r="D552" s="3">
        <v>26088.9</v>
      </c>
      <c r="E552" s="3">
        <v>20860.3</v>
      </c>
      <c r="F552" s="3">
        <f ca="1" t="shared" si="16"/>
        <v>46949.2</v>
      </c>
      <c r="G552" s="3">
        <v>13605.4</v>
      </c>
      <c r="H552" s="3">
        <f ca="1" t="shared" si="17"/>
        <v>3.45077689740838</v>
      </c>
    </row>
    <row r="553" hidden="1" spans="1:8">
      <c r="A553" s="3">
        <f>VLOOKUP(B553,Sheet2!$A$1:$B$31,2,0)</f>
        <v>25</v>
      </c>
      <c r="B553" s="3" t="s">
        <v>32</v>
      </c>
      <c r="C553" s="3">
        <v>2017</v>
      </c>
      <c r="D553" s="3">
        <v>29963.8</v>
      </c>
      <c r="E553" s="3">
        <v>25398.9</v>
      </c>
      <c r="F553" s="3">
        <f ca="1" t="shared" si="16"/>
        <v>55362.7</v>
      </c>
      <c r="G553" s="3">
        <v>18486</v>
      </c>
      <c r="H553" s="3">
        <f ca="1" t="shared" si="17"/>
        <v>2.99484474737639</v>
      </c>
    </row>
    <row r="554" hidden="1" spans="1:8">
      <c r="A554" s="3">
        <f>VLOOKUP(B554,Sheet2!$A$1:$B$31,2,0)</f>
        <v>26</v>
      </c>
      <c r="B554" s="3" t="s">
        <v>33</v>
      </c>
      <c r="C554" s="3">
        <v>2017</v>
      </c>
      <c r="D554" s="3">
        <v>4952.51</v>
      </c>
      <c r="E554" s="3">
        <v>4041.44</v>
      </c>
      <c r="F554" s="3">
        <f ca="1" t="shared" si="16"/>
        <v>8993.95</v>
      </c>
      <c r="G554" s="3">
        <v>1349</v>
      </c>
      <c r="H554" s="3">
        <f ca="1" t="shared" si="17"/>
        <v>6.667123795404</v>
      </c>
    </row>
    <row r="555" hidden="1" spans="1:8">
      <c r="A555" s="3">
        <f>VLOOKUP(B555,Sheet2!$A$1:$B$31,2,0)</f>
        <v>27</v>
      </c>
      <c r="B555" s="3" t="s">
        <v>34</v>
      </c>
      <c r="C555" s="3">
        <v>2017</v>
      </c>
      <c r="D555" s="3">
        <v>37784</v>
      </c>
      <c r="E555" s="3">
        <v>26679.1</v>
      </c>
      <c r="F555" s="3">
        <f ca="1" t="shared" si="16"/>
        <v>64463.1</v>
      </c>
      <c r="G555" s="3">
        <v>21473.4</v>
      </c>
      <c r="H555" s="3">
        <f ca="1" t="shared" si="17"/>
        <v>3.00199782055939</v>
      </c>
    </row>
    <row r="556" hidden="1" spans="1:8">
      <c r="A556" s="3">
        <f>VLOOKUP(B556,Sheet2!$A$1:$B$31,2,0)</f>
        <v>28</v>
      </c>
      <c r="B556" s="3" t="s">
        <v>35</v>
      </c>
      <c r="C556" s="3">
        <v>2017</v>
      </c>
      <c r="D556" s="3">
        <v>17777.2</v>
      </c>
      <c r="E556" s="3">
        <v>17707.2</v>
      </c>
      <c r="F556" s="3">
        <f ca="1" t="shared" si="16"/>
        <v>35484.4</v>
      </c>
      <c r="G556" s="3">
        <v>7336.74</v>
      </c>
      <c r="H556" s="3">
        <f ca="1" t="shared" si="17"/>
        <v>4.8365350278189</v>
      </c>
    </row>
    <row r="557" hidden="1" spans="1:8">
      <c r="A557" s="3">
        <f>VLOOKUP(B557,Sheet2!$A$1:$B$31,2,0)</f>
        <v>29</v>
      </c>
      <c r="B557" s="3" t="s">
        <v>36</v>
      </c>
      <c r="C557" s="3">
        <v>2017</v>
      </c>
      <c r="D557" s="3">
        <v>5826.63</v>
      </c>
      <c r="E557" s="3">
        <v>6222.49</v>
      </c>
      <c r="F557" s="3">
        <f ca="1" t="shared" si="16"/>
        <v>12049.12</v>
      </c>
      <c r="G557" s="3">
        <v>2465.11</v>
      </c>
      <c r="H557" s="3">
        <f ca="1" t="shared" si="17"/>
        <v>4.88786301625485</v>
      </c>
    </row>
    <row r="558" hidden="1" spans="1:8">
      <c r="A558" s="3">
        <f>VLOOKUP(B558,Sheet2!$A$1:$B$31,2,0)</f>
        <v>30</v>
      </c>
      <c r="B558" s="3" t="s">
        <v>37</v>
      </c>
      <c r="C558" s="3">
        <v>2017</v>
      </c>
      <c r="D558" s="3">
        <v>5848.45</v>
      </c>
      <c r="E558" s="3">
        <v>6332.61</v>
      </c>
      <c r="F558" s="3">
        <f ca="1" t="shared" si="16"/>
        <v>12181.06</v>
      </c>
      <c r="G558" s="3">
        <v>3200.3</v>
      </c>
      <c r="H558" s="3">
        <f ca="1" t="shared" si="17"/>
        <v>3.80622441646096</v>
      </c>
    </row>
    <row r="559" hidden="1" spans="1:8">
      <c r="A559" s="3">
        <f>VLOOKUP(B559,Sheet2!$A$1:$B$31,2,0)</f>
        <v>31</v>
      </c>
      <c r="B559" s="3" t="s">
        <v>38</v>
      </c>
      <c r="C559" s="3">
        <v>2017</v>
      </c>
      <c r="D559" s="3">
        <v>21257.4</v>
      </c>
      <c r="E559" s="3">
        <v>16871</v>
      </c>
      <c r="F559" s="3">
        <f ca="1" t="shared" si="16"/>
        <v>38128.4</v>
      </c>
      <c r="G559" s="3">
        <v>11159.9</v>
      </c>
      <c r="H559" s="3">
        <f ca="1" t="shared" si="17"/>
        <v>3.4165539117734</v>
      </c>
    </row>
    <row r="560" hidden="1" spans="1:8">
      <c r="A560" s="3">
        <f>VLOOKUP(B560,Sheet2!$A$1:$B$31,2,0)</f>
        <v>1</v>
      </c>
      <c r="B560" s="3" t="s">
        <v>8</v>
      </c>
      <c r="C560" s="3">
        <v>2018</v>
      </c>
      <c r="D560" s="3">
        <v>157092</v>
      </c>
      <c r="E560" s="3">
        <v>70483.7</v>
      </c>
      <c r="F560" s="3">
        <f ca="1" t="shared" si="16"/>
        <v>227575.7</v>
      </c>
      <c r="G560" s="3">
        <v>33106</v>
      </c>
      <c r="H560" s="3">
        <f ca="1" t="shared" si="17"/>
        <v>6.87415272156105</v>
      </c>
    </row>
    <row r="561" hidden="1" spans="1:8">
      <c r="A561" s="3">
        <f>VLOOKUP(B561,Sheet2!$A$1:$B$31,2,0)</f>
        <v>2</v>
      </c>
      <c r="B561" s="3" t="s">
        <v>9</v>
      </c>
      <c r="C561" s="3">
        <v>2018</v>
      </c>
      <c r="D561" s="3">
        <v>30983.2</v>
      </c>
      <c r="E561" s="3">
        <v>34084.9</v>
      </c>
      <c r="F561" s="3">
        <f ca="1" t="shared" si="16"/>
        <v>65068.1</v>
      </c>
      <c r="G561" s="3">
        <v>13362.9</v>
      </c>
      <c r="H561" s="3">
        <f ca="1" t="shared" si="17"/>
        <v>4.86930980550629</v>
      </c>
    </row>
    <row r="562" spans="1:8">
      <c r="A562" s="3">
        <f>VLOOKUP(B562,Sheet2!$A$1:$B$31,2,0)</f>
        <v>3</v>
      </c>
      <c r="B562" s="3" t="s">
        <v>10</v>
      </c>
      <c r="C562" s="3">
        <v>2018</v>
      </c>
      <c r="D562" s="3">
        <v>65910.2</v>
      </c>
      <c r="E562" s="3">
        <v>47744.1</v>
      </c>
      <c r="F562" s="3">
        <f ca="1" t="shared" si="16"/>
        <v>113654.3</v>
      </c>
      <c r="G562" s="3">
        <v>32494.6</v>
      </c>
      <c r="H562" s="3">
        <f ca="1" t="shared" si="17"/>
        <v>3.49763653037735</v>
      </c>
    </row>
    <row r="563" hidden="1" spans="1:8">
      <c r="A563" s="3">
        <f>VLOOKUP(B563,Sheet2!$A$1:$B$31,2,0)</f>
        <v>4</v>
      </c>
      <c r="B563" s="3" t="s">
        <v>11</v>
      </c>
      <c r="C563" s="3">
        <v>2018</v>
      </c>
      <c r="D563" s="3">
        <v>34987.6</v>
      </c>
      <c r="E563" s="3">
        <v>25057</v>
      </c>
      <c r="F563" s="3">
        <f ca="1" t="shared" si="16"/>
        <v>60044.6</v>
      </c>
      <c r="G563" s="3">
        <v>15958.1</v>
      </c>
      <c r="H563" s="3">
        <f ca="1" t="shared" si="17"/>
        <v>3.76264091589851</v>
      </c>
    </row>
    <row r="564" hidden="1" spans="1:8">
      <c r="A564" s="3">
        <f>VLOOKUP(B564,Sheet2!$A$1:$B$31,2,0)</f>
        <v>5</v>
      </c>
      <c r="B564" s="3" t="s">
        <v>12</v>
      </c>
      <c r="C564" s="3">
        <v>2018</v>
      </c>
      <c r="D564" s="3">
        <v>23261.3</v>
      </c>
      <c r="E564" s="3">
        <v>22085.2</v>
      </c>
      <c r="F564" s="3">
        <f ca="1" t="shared" si="16"/>
        <v>45346.5</v>
      </c>
      <c r="G564" s="3">
        <v>16140.8</v>
      </c>
      <c r="H564" s="3">
        <f ca="1" t="shared" si="17"/>
        <v>2.80943323750991</v>
      </c>
    </row>
    <row r="565" hidden="1" spans="1:8">
      <c r="A565" s="3">
        <f>VLOOKUP(B565,Sheet2!$A$1:$B$31,2,0)</f>
        <v>6</v>
      </c>
      <c r="B565" s="3" t="s">
        <v>13</v>
      </c>
      <c r="C565" s="3">
        <v>2018</v>
      </c>
      <c r="D565" s="3">
        <v>59016</v>
      </c>
      <c r="E565" s="3">
        <v>44985</v>
      </c>
      <c r="F565" s="3">
        <f ca="1" t="shared" si="16"/>
        <v>104001</v>
      </c>
      <c r="G565" s="3">
        <v>23510.5</v>
      </c>
      <c r="H565" s="3">
        <f ca="1" t="shared" si="17"/>
        <v>4.42359796686587</v>
      </c>
    </row>
    <row r="566" hidden="1" spans="1:8">
      <c r="A566" s="3">
        <f>VLOOKUP(B566,Sheet2!$A$1:$B$31,2,0)</f>
        <v>7</v>
      </c>
      <c r="B566" s="3" t="s">
        <v>14</v>
      </c>
      <c r="C566" s="3">
        <v>2018</v>
      </c>
      <c r="D566" s="3">
        <v>21927</v>
      </c>
      <c r="E566" s="3">
        <v>18956.4</v>
      </c>
      <c r="F566" s="3">
        <f ca="1" t="shared" si="16"/>
        <v>40883.4</v>
      </c>
      <c r="G566" s="3">
        <v>11253.8</v>
      </c>
      <c r="H566" s="3">
        <f ca="1" t="shared" si="17"/>
        <v>3.63285290301942</v>
      </c>
    </row>
    <row r="567" hidden="1" spans="1:8">
      <c r="A567" s="3">
        <f>VLOOKUP(B567,Sheet2!$A$1:$B$31,2,0)</f>
        <v>8</v>
      </c>
      <c r="B567" s="3" t="s">
        <v>15</v>
      </c>
      <c r="C567" s="3">
        <v>2018</v>
      </c>
      <c r="D567" s="3">
        <v>25321.9</v>
      </c>
      <c r="E567" s="3">
        <v>20156.3</v>
      </c>
      <c r="F567" s="3">
        <f ca="1" t="shared" si="16"/>
        <v>45478.2</v>
      </c>
      <c r="G567" s="3">
        <v>12846.5</v>
      </c>
      <c r="H567" s="3">
        <f ca="1" t="shared" si="17"/>
        <v>3.54012376911999</v>
      </c>
    </row>
    <row r="568" hidden="1" spans="1:8">
      <c r="A568" s="3">
        <f>VLOOKUP(B568,Sheet2!$A$1:$B$31,2,0)</f>
        <v>9</v>
      </c>
      <c r="B568" s="3" t="s">
        <v>16</v>
      </c>
      <c r="C568" s="3">
        <v>2018</v>
      </c>
      <c r="D568" s="3">
        <v>121112</v>
      </c>
      <c r="E568" s="3">
        <v>73272.4</v>
      </c>
      <c r="F568" s="3">
        <f ca="1" t="shared" si="16"/>
        <v>194384.4</v>
      </c>
      <c r="G568" s="3">
        <v>36011.8</v>
      </c>
      <c r="H568" s="3">
        <f ca="1" t="shared" si="17"/>
        <v>5.39779738863372</v>
      </c>
    </row>
    <row r="569" hidden="1" spans="1:8">
      <c r="A569" s="3">
        <f>VLOOKUP(B569,Sheet2!$A$1:$B$31,2,0)</f>
        <v>10</v>
      </c>
      <c r="B569" s="3" t="s">
        <v>17</v>
      </c>
      <c r="C569" s="3">
        <v>2018</v>
      </c>
      <c r="D569" s="3">
        <v>139718</v>
      </c>
      <c r="E569" s="3">
        <v>115719</v>
      </c>
      <c r="F569" s="3">
        <f ca="1" t="shared" si="16"/>
        <v>255437</v>
      </c>
      <c r="G569" s="3">
        <v>93207.5</v>
      </c>
      <c r="H569" s="3">
        <f ca="1" t="shared" si="17"/>
        <v>2.74051980795537</v>
      </c>
    </row>
    <row r="570" hidden="1" spans="1:8">
      <c r="A570" s="3">
        <f>VLOOKUP(B570,Sheet2!$A$1:$B$31,2,0)</f>
        <v>11</v>
      </c>
      <c r="B570" s="3" t="s">
        <v>18</v>
      </c>
      <c r="C570" s="3">
        <v>2018</v>
      </c>
      <c r="D570" s="3">
        <v>116513</v>
      </c>
      <c r="E570" s="3">
        <v>105775</v>
      </c>
      <c r="F570" s="3">
        <f ca="1" t="shared" si="16"/>
        <v>222288</v>
      </c>
      <c r="G570" s="3">
        <v>58002.8</v>
      </c>
      <c r="H570" s="3">
        <f ca="1" t="shared" si="17"/>
        <v>3.83236671333108</v>
      </c>
    </row>
    <row r="571" hidden="1" spans="1:8">
      <c r="A571" s="3">
        <f>VLOOKUP(B571,Sheet2!$A$1:$B$31,2,0)</f>
        <v>12</v>
      </c>
      <c r="B571" s="3" t="s">
        <v>19</v>
      </c>
      <c r="C571" s="3">
        <v>2018</v>
      </c>
      <c r="D571" s="3">
        <v>51199.1</v>
      </c>
      <c r="E571" s="3">
        <v>39452.7</v>
      </c>
      <c r="F571" s="3">
        <f ca="1" t="shared" si="16"/>
        <v>90651.8</v>
      </c>
      <c r="G571" s="3">
        <v>34010.9</v>
      </c>
      <c r="H571" s="3">
        <f ca="1" t="shared" si="17"/>
        <v>2.66537492392145</v>
      </c>
    </row>
    <row r="572" hidden="1" spans="1:8">
      <c r="A572" s="3">
        <f>VLOOKUP(B572,Sheet2!$A$1:$B$31,2,0)</f>
        <v>13</v>
      </c>
      <c r="B572" s="3" t="s">
        <v>20</v>
      </c>
      <c r="C572" s="3">
        <v>2018</v>
      </c>
      <c r="D572" s="3">
        <v>44677.7</v>
      </c>
      <c r="E572" s="3">
        <v>45173.9</v>
      </c>
      <c r="F572" s="3">
        <f ca="1" t="shared" si="16"/>
        <v>89851.6</v>
      </c>
      <c r="G572" s="3">
        <v>38687.8</v>
      </c>
      <c r="H572" s="3">
        <f ca="1" t="shared" si="17"/>
        <v>2.32247892100352</v>
      </c>
    </row>
    <row r="573" hidden="1" spans="1:8">
      <c r="A573" s="3">
        <f>VLOOKUP(B573,Sheet2!$A$1:$B$31,2,0)</f>
        <v>14</v>
      </c>
      <c r="B573" s="3" t="s">
        <v>21</v>
      </c>
      <c r="C573" s="3">
        <v>2018</v>
      </c>
      <c r="D573" s="3">
        <v>35290.7</v>
      </c>
      <c r="E573" s="3">
        <v>30567.1</v>
      </c>
      <c r="F573" s="3">
        <f ca="1" t="shared" si="16"/>
        <v>65857.8</v>
      </c>
      <c r="G573" s="3">
        <v>22716.5</v>
      </c>
      <c r="H573" s="3">
        <f ca="1" t="shared" si="17"/>
        <v>2.8991173816389</v>
      </c>
    </row>
    <row r="574" hidden="1" spans="1:8">
      <c r="A574" s="3">
        <f>VLOOKUP(B574,Sheet2!$A$1:$B$31,2,0)</f>
        <v>15</v>
      </c>
      <c r="B574" s="3" t="s">
        <v>22</v>
      </c>
      <c r="C574" s="3">
        <v>2018</v>
      </c>
      <c r="D574" s="3">
        <v>94298.2</v>
      </c>
      <c r="E574" s="3">
        <v>74879.4</v>
      </c>
      <c r="F574" s="3">
        <f ca="1" t="shared" si="16"/>
        <v>169177.6</v>
      </c>
      <c r="G574" s="3">
        <v>66648.9</v>
      </c>
      <c r="H574" s="3">
        <f ca="1" t="shared" si="17"/>
        <v>2.53834046773465</v>
      </c>
    </row>
    <row r="575" hidden="1" spans="1:8">
      <c r="A575" s="3">
        <f>VLOOKUP(B575,Sheet2!$A$1:$B$31,2,0)</f>
        <v>16</v>
      </c>
      <c r="B575" s="3" t="s">
        <v>23</v>
      </c>
      <c r="C575" s="3">
        <v>2018</v>
      </c>
      <c r="D575" s="3">
        <v>63867.6</v>
      </c>
      <c r="E575" s="3">
        <v>47834.8</v>
      </c>
      <c r="F575" s="3">
        <f ca="1" t="shared" si="16"/>
        <v>111702.4</v>
      </c>
      <c r="G575" s="3">
        <v>49935.9</v>
      </c>
      <c r="H575" s="3">
        <f ca="1" t="shared" si="17"/>
        <v>2.23691572596068</v>
      </c>
    </row>
    <row r="576" hidden="1" spans="1:8">
      <c r="A576" s="3">
        <f>VLOOKUP(B576,Sheet2!$A$1:$B$31,2,0)</f>
        <v>17</v>
      </c>
      <c r="B576" s="3" t="s">
        <v>24</v>
      </c>
      <c r="C576" s="3">
        <v>2018</v>
      </c>
      <c r="D576" s="3">
        <v>55371.2</v>
      </c>
      <c r="E576" s="3">
        <v>44340.5</v>
      </c>
      <c r="F576" s="3">
        <f ca="1" t="shared" si="16"/>
        <v>99711.7</v>
      </c>
      <c r="G576" s="3">
        <v>42021.9</v>
      </c>
      <c r="H576" s="3">
        <f ca="1" t="shared" si="17"/>
        <v>2.37285082302323</v>
      </c>
    </row>
    <row r="577" hidden="1" spans="1:8">
      <c r="A577" s="3">
        <f>VLOOKUP(B577,Sheet2!$A$1:$B$31,2,0)</f>
        <v>18</v>
      </c>
      <c r="B577" s="3" t="s">
        <v>25</v>
      </c>
      <c r="C577" s="3">
        <v>2018</v>
      </c>
      <c r="D577" s="3">
        <v>48994.6</v>
      </c>
      <c r="E577" s="3">
        <v>36460.5</v>
      </c>
      <c r="F577" s="3">
        <f ca="1" t="shared" si="16"/>
        <v>85455.1</v>
      </c>
      <c r="G577" s="3">
        <v>36329.7</v>
      </c>
      <c r="H577" s="3">
        <f ca="1" t="shared" si="17"/>
        <v>2.35221045040284</v>
      </c>
    </row>
    <row r="578" hidden="1" spans="1:8">
      <c r="A578" s="3">
        <f>VLOOKUP(B578,Sheet2!$A$1:$B$31,2,0)</f>
        <v>19</v>
      </c>
      <c r="B578" s="3" t="s">
        <v>26</v>
      </c>
      <c r="C578" s="3">
        <v>2018</v>
      </c>
      <c r="D578" s="3">
        <v>208051</v>
      </c>
      <c r="E578" s="3">
        <v>199576</v>
      </c>
      <c r="F578" s="3">
        <f ca="1" t="shared" ref="F578:F641" si="18">D578+E578</f>
        <v>407627</v>
      </c>
      <c r="G578" s="3">
        <v>99945.2</v>
      </c>
      <c r="H578" s="3">
        <f ca="1" t="shared" ref="H578:H641" si="19">F578/G578</f>
        <v>4.07850502075137</v>
      </c>
    </row>
    <row r="579" hidden="1" spans="1:8">
      <c r="A579" s="3">
        <f>VLOOKUP(B579,Sheet2!$A$1:$B$31,2,0)</f>
        <v>20</v>
      </c>
      <c r="B579" s="3" t="s">
        <v>27</v>
      </c>
      <c r="C579" s="3">
        <v>2018</v>
      </c>
      <c r="D579" s="3">
        <v>29789.8</v>
      </c>
      <c r="E579" s="3">
        <v>26688.3</v>
      </c>
      <c r="F579" s="3">
        <f ca="1" t="shared" si="18"/>
        <v>56478.1</v>
      </c>
      <c r="G579" s="3">
        <v>19627.8</v>
      </c>
      <c r="H579" s="3">
        <f ca="1" t="shared" si="19"/>
        <v>2.87745442688432</v>
      </c>
    </row>
    <row r="580" hidden="1" spans="1:8">
      <c r="A580" s="3">
        <f>VLOOKUP(B580,Sheet2!$A$1:$B$31,2,0)</f>
        <v>21</v>
      </c>
      <c r="B580" s="3" t="s">
        <v>28</v>
      </c>
      <c r="C580" s="3">
        <v>2018</v>
      </c>
      <c r="D580" s="3">
        <v>9610.47</v>
      </c>
      <c r="E580" s="3">
        <v>8820.12</v>
      </c>
      <c r="F580" s="3">
        <f ca="1" t="shared" si="18"/>
        <v>18430.59</v>
      </c>
      <c r="G580" s="3">
        <v>4910.69</v>
      </c>
      <c r="H580" s="3">
        <f ca="1" t="shared" si="19"/>
        <v>3.75315688833952</v>
      </c>
    </row>
    <row r="581" hidden="1" spans="1:8">
      <c r="A581" s="3">
        <f>VLOOKUP(B581,Sheet2!$A$1:$B$31,2,0)</f>
        <v>22</v>
      </c>
      <c r="B581" s="3" t="s">
        <v>29</v>
      </c>
      <c r="C581" s="3">
        <v>2018</v>
      </c>
      <c r="D581" s="3">
        <v>36887.3</v>
      </c>
      <c r="E581" s="3">
        <v>32247.8</v>
      </c>
      <c r="F581" s="3">
        <f ca="1" t="shared" si="18"/>
        <v>69135.1</v>
      </c>
      <c r="G581" s="3">
        <v>21588.8</v>
      </c>
      <c r="H581" s="3">
        <f ca="1" t="shared" si="19"/>
        <v>3.20235955680723</v>
      </c>
    </row>
    <row r="582" hidden="1" spans="1:8">
      <c r="A582" s="3">
        <f>VLOOKUP(B582,Sheet2!$A$1:$B$31,2,0)</f>
        <v>23</v>
      </c>
      <c r="B582" s="3" t="s">
        <v>30</v>
      </c>
      <c r="C582" s="3">
        <v>2018</v>
      </c>
      <c r="D582" s="3">
        <v>77391</v>
      </c>
      <c r="E582" s="3">
        <v>54097.8</v>
      </c>
      <c r="F582" s="3">
        <f ca="1" t="shared" si="18"/>
        <v>131488.8</v>
      </c>
      <c r="G582" s="3">
        <v>42902.1</v>
      </c>
      <c r="H582" s="3">
        <f ca="1" t="shared" si="19"/>
        <v>3.06485696504367</v>
      </c>
    </row>
    <row r="583" hidden="1" spans="1:8">
      <c r="A583" s="3">
        <f>VLOOKUP(B583,Sheet2!$A$1:$B$31,2,0)</f>
        <v>24</v>
      </c>
      <c r="B583" s="3" t="s">
        <v>31</v>
      </c>
      <c r="C583" s="3">
        <v>2018</v>
      </c>
      <c r="D583" s="3">
        <v>26473.3</v>
      </c>
      <c r="E583" s="3">
        <v>24715.1</v>
      </c>
      <c r="F583" s="3">
        <f ca="1" t="shared" si="18"/>
        <v>51188.4</v>
      </c>
      <c r="G583" s="3">
        <v>15353.2</v>
      </c>
      <c r="H583" s="3">
        <f ca="1" t="shared" si="19"/>
        <v>3.33405413855092</v>
      </c>
    </row>
    <row r="584" hidden="1" spans="1:8">
      <c r="A584" s="3">
        <f>VLOOKUP(B584,Sheet2!$A$1:$B$31,2,0)</f>
        <v>25</v>
      </c>
      <c r="B584" s="3" t="s">
        <v>32</v>
      </c>
      <c r="C584" s="3">
        <v>2018</v>
      </c>
      <c r="D584" s="3">
        <v>30518.8</v>
      </c>
      <c r="E584" s="3">
        <v>28042</v>
      </c>
      <c r="F584" s="3">
        <f ca="1" t="shared" si="18"/>
        <v>58560.8</v>
      </c>
      <c r="G584" s="3">
        <v>20880.6</v>
      </c>
      <c r="H584" s="3">
        <f ca="1" t="shared" si="19"/>
        <v>2.80455542465255</v>
      </c>
    </row>
    <row r="585" hidden="1" spans="1:8">
      <c r="A585" s="3">
        <f>VLOOKUP(B585,Sheet2!$A$1:$B$31,2,0)</f>
        <v>26</v>
      </c>
      <c r="B585" s="3" t="s">
        <v>33</v>
      </c>
      <c r="C585" s="3">
        <v>2018</v>
      </c>
      <c r="D585" s="3">
        <v>4928.4</v>
      </c>
      <c r="E585" s="3">
        <v>4555.5</v>
      </c>
      <c r="F585" s="3">
        <f ca="1" t="shared" si="18"/>
        <v>9483.9</v>
      </c>
      <c r="G585" s="3">
        <v>1548.39</v>
      </c>
      <c r="H585" s="3">
        <f ca="1" t="shared" si="19"/>
        <v>6.12500726561138</v>
      </c>
    </row>
    <row r="586" hidden="1" spans="1:8">
      <c r="A586" s="3">
        <f>VLOOKUP(B586,Sheet2!$A$1:$B$31,2,0)</f>
        <v>27</v>
      </c>
      <c r="B586" s="3" t="s">
        <v>34</v>
      </c>
      <c r="C586" s="3">
        <v>2018</v>
      </c>
      <c r="D586" s="3">
        <v>40567.4</v>
      </c>
      <c r="E586" s="3">
        <v>30513.8</v>
      </c>
      <c r="F586" s="3">
        <f ca="1" t="shared" si="18"/>
        <v>71081.2</v>
      </c>
      <c r="G586" s="3">
        <v>23941.9</v>
      </c>
      <c r="H586" s="3">
        <f ca="1" t="shared" si="19"/>
        <v>2.96890388816259</v>
      </c>
    </row>
    <row r="587" hidden="1" spans="1:8">
      <c r="A587" s="3">
        <f>VLOOKUP(B587,Sheet2!$A$1:$B$31,2,0)</f>
        <v>28</v>
      </c>
      <c r="B587" s="3" t="s">
        <v>35</v>
      </c>
      <c r="C587" s="3">
        <v>2018</v>
      </c>
      <c r="D587" s="3">
        <v>18678.5</v>
      </c>
      <c r="E587" s="3">
        <v>19371.3</v>
      </c>
      <c r="F587" s="3">
        <f ca="1" t="shared" si="18"/>
        <v>38049.8</v>
      </c>
      <c r="G587" s="3">
        <v>8104.07</v>
      </c>
      <c r="H587" s="3">
        <f ca="1" t="shared" si="19"/>
        <v>4.69514700638075</v>
      </c>
    </row>
    <row r="588" hidden="1" spans="1:9">
      <c r="A588" s="3">
        <f>VLOOKUP(B588,Sheet2!$A$1:$B$31,2,0)</f>
        <v>29</v>
      </c>
      <c r="B588" s="3" t="s">
        <v>36</v>
      </c>
      <c r="C588" s="3">
        <v>2018</v>
      </c>
      <c r="D588" s="3">
        <v>5754.66</v>
      </c>
      <c r="E588" s="3">
        <v>6582.44</v>
      </c>
      <c r="F588" s="3">
        <f ca="1" t="shared" si="18"/>
        <v>12337.1</v>
      </c>
      <c r="G588" s="3">
        <v>2748</v>
      </c>
      <c r="H588" s="3">
        <f ca="1" t="shared" si="19"/>
        <v>4.48948326055313</v>
      </c>
      <c r="I588" s="7"/>
    </row>
    <row r="589" hidden="1" spans="1:9">
      <c r="A589" s="3">
        <f>VLOOKUP(B589,Sheet2!$A$1:$B$31,2,0)</f>
        <v>30</v>
      </c>
      <c r="B589" s="3" t="s">
        <v>37</v>
      </c>
      <c r="C589" s="3">
        <v>2018</v>
      </c>
      <c r="D589" s="3">
        <v>6028.4</v>
      </c>
      <c r="E589" s="3">
        <v>6807.52</v>
      </c>
      <c r="F589" s="3">
        <f ca="1" t="shared" si="18"/>
        <v>12835.92</v>
      </c>
      <c r="G589" s="3">
        <v>3510.21</v>
      </c>
      <c r="H589" s="3">
        <f ca="1" t="shared" si="19"/>
        <v>3.65673848573162</v>
      </c>
      <c r="I589" s="8"/>
    </row>
    <row r="590" hidden="1" spans="1:9">
      <c r="A590" s="3">
        <f>VLOOKUP(B590,Sheet2!$A$1:$B$31,2,0)</f>
        <v>31</v>
      </c>
      <c r="B590" s="3" t="s">
        <v>38</v>
      </c>
      <c r="C590" s="3">
        <v>2018</v>
      </c>
      <c r="D590" s="3">
        <v>22011.5</v>
      </c>
      <c r="E590" s="3">
        <v>18203.1</v>
      </c>
      <c r="F590" s="3">
        <f ca="1" t="shared" si="18"/>
        <v>40214.6</v>
      </c>
      <c r="G590" s="3">
        <v>12809.4</v>
      </c>
      <c r="H590" s="3">
        <f ca="1" t="shared" si="19"/>
        <v>3.13946008400081</v>
      </c>
      <c r="I590" s="9"/>
    </row>
    <row r="591" hidden="1" spans="1:9">
      <c r="A591" s="3">
        <f>VLOOKUP(B591,Sheet2!$A$1:$B$31,2,0)</f>
        <v>1</v>
      </c>
      <c r="B591" s="3" t="s">
        <v>8</v>
      </c>
      <c r="C591" s="3">
        <v>2019</v>
      </c>
      <c r="D591" s="3">
        <v>171062</v>
      </c>
      <c r="E591" s="3">
        <v>76875.6</v>
      </c>
      <c r="F591" s="3">
        <f ca="1" t="shared" si="18"/>
        <v>247937.6</v>
      </c>
      <c r="G591" s="3">
        <v>35445.1</v>
      </c>
      <c r="H591" s="3">
        <f ca="1" t="shared" si="19"/>
        <v>6.99497532804252</v>
      </c>
      <c r="I591" s="9"/>
    </row>
    <row r="592" hidden="1" spans="1:9">
      <c r="A592" s="3">
        <f>VLOOKUP(B592,Sheet2!$A$1:$B$31,2,0)</f>
        <v>2</v>
      </c>
      <c r="B592" s="3" t="s">
        <v>9</v>
      </c>
      <c r="C592" s="3">
        <v>2019</v>
      </c>
      <c r="D592" s="3">
        <v>30384.6</v>
      </c>
      <c r="E592" s="3">
        <v>34546.9</v>
      </c>
      <c r="F592" s="3">
        <f ca="1" t="shared" si="18"/>
        <v>64931.5</v>
      </c>
      <c r="G592" s="3">
        <v>14055.5</v>
      </c>
      <c r="H592" s="3">
        <f ca="1" t="shared" si="19"/>
        <v>4.61965067055601</v>
      </c>
      <c r="I592" s="9"/>
    </row>
    <row r="593" spans="1:9">
      <c r="A593" s="3">
        <f>VLOOKUP(B593,Sheet2!$A$1:$B$31,2,0)</f>
        <v>3</v>
      </c>
      <c r="B593" s="3" t="s">
        <v>10</v>
      </c>
      <c r="C593" s="3">
        <v>2019</v>
      </c>
      <c r="D593" s="3">
        <v>72884.5</v>
      </c>
      <c r="E593" s="3">
        <v>53448.1</v>
      </c>
      <c r="F593" s="3">
        <f ca="1" t="shared" si="18"/>
        <v>126332.6</v>
      </c>
      <c r="G593" s="3">
        <v>34978.6</v>
      </c>
      <c r="H593" s="3">
        <f ca="1" t="shared" si="19"/>
        <v>3.61171116053816</v>
      </c>
      <c r="I593" s="7"/>
    </row>
    <row r="594" hidden="1" spans="1:9">
      <c r="A594" s="3">
        <f>VLOOKUP(B594,Sheet2!$A$1:$B$31,2,0)</f>
        <v>4</v>
      </c>
      <c r="B594" s="3" t="s">
        <v>11</v>
      </c>
      <c r="C594" s="3">
        <v>2019</v>
      </c>
      <c r="D594" s="3">
        <v>38381.4</v>
      </c>
      <c r="E594" s="3">
        <v>28119.4</v>
      </c>
      <c r="F594" s="3">
        <f ca="1" t="shared" si="18"/>
        <v>66500.8</v>
      </c>
      <c r="G594" s="3">
        <v>16961.6</v>
      </c>
      <c r="H594" s="3">
        <f ca="1" t="shared" si="19"/>
        <v>3.9206678615225</v>
      </c>
      <c r="I594" s="8"/>
    </row>
    <row r="595" hidden="1" spans="1:9">
      <c r="A595" s="3">
        <f>VLOOKUP(B595,Sheet2!$A$1:$B$31,2,0)</f>
        <v>5</v>
      </c>
      <c r="B595" s="3" t="s">
        <v>12</v>
      </c>
      <c r="C595" s="3">
        <v>2019</v>
      </c>
      <c r="D595" s="3">
        <v>23645.1</v>
      </c>
      <c r="E595" s="3">
        <v>23085.1</v>
      </c>
      <c r="F595" s="3">
        <f ca="1" t="shared" si="18"/>
        <v>46730.2</v>
      </c>
      <c r="G595" s="3">
        <v>17212.5</v>
      </c>
      <c r="H595" s="3">
        <f ca="1" t="shared" si="19"/>
        <v>2.71489905591866</v>
      </c>
      <c r="I595" s="9"/>
    </row>
    <row r="596" hidden="1" spans="1:9">
      <c r="A596" s="3">
        <f>VLOOKUP(B596,Sheet2!$A$1:$B$31,2,0)</f>
        <v>6</v>
      </c>
      <c r="B596" s="3" t="s">
        <v>13</v>
      </c>
      <c r="C596" s="3">
        <v>2019</v>
      </c>
      <c r="D596" s="3">
        <v>62697.4</v>
      </c>
      <c r="E596" s="3">
        <v>49582.6</v>
      </c>
      <c r="F596" s="3">
        <f ca="1" t="shared" si="18"/>
        <v>112280</v>
      </c>
      <c r="G596" s="3">
        <v>24855.3</v>
      </c>
      <c r="H596" s="3">
        <f ca="1" t="shared" si="19"/>
        <v>4.51734640096881</v>
      </c>
      <c r="I596" s="9"/>
    </row>
    <row r="597" hidden="1" spans="1:9">
      <c r="A597" s="3">
        <f>VLOOKUP(B597,Sheet2!$A$1:$B$31,2,0)</f>
        <v>7</v>
      </c>
      <c r="B597" s="3" t="s">
        <v>14</v>
      </c>
      <c r="C597" s="3">
        <v>2019</v>
      </c>
      <c r="D597" s="3">
        <v>24019.43</v>
      </c>
      <c r="E597" s="3">
        <v>20884.4</v>
      </c>
      <c r="F597" s="3">
        <f ca="1" t="shared" si="18"/>
        <v>44903.83</v>
      </c>
      <c r="G597" s="3">
        <v>11726.8</v>
      </c>
      <c r="H597" s="3">
        <f ca="1" t="shared" si="19"/>
        <v>3.82916311355186</v>
      </c>
      <c r="I597" s="9"/>
    </row>
    <row r="598" hidden="1" spans="1:9">
      <c r="A598" s="3">
        <f>VLOOKUP(B598,Sheet2!$A$1:$B$31,2,0)</f>
        <v>8</v>
      </c>
      <c r="B598" s="3" t="s">
        <v>15</v>
      </c>
      <c r="C598" s="3">
        <v>2019</v>
      </c>
      <c r="D598" s="3">
        <v>27716.7</v>
      </c>
      <c r="E598" s="3">
        <v>21370</v>
      </c>
      <c r="F598" s="3">
        <f ca="1" t="shared" si="18"/>
        <v>49086.7</v>
      </c>
      <c r="G598" s="3">
        <v>13544.4</v>
      </c>
      <c r="H598" s="3">
        <f ca="1" t="shared" si="19"/>
        <v>3.62413248279732</v>
      </c>
      <c r="I598" s="7"/>
    </row>
    <row r="599" hidden="1" spans="1:9">
      <c r="A599" s="3">
        <f>VLOOKUP(B599,Sheet2!$A$1:$B$31,2,0)</f>
        <v>9</v>
      </c>
      <c r="B599" s="3" t="s">
        <v>16</v>
      </c>
      <c r="C599" s="3">
        <v>2019</v>
      </c>
      <c r="D599" s="3">
        <v>132820</v>
      </c>
      <c r="E599" s="3">
        <v>79843</v>
      </c>
      <c r="F599" s="3">
        <f ca="1" t="shared" si="18"/>
        <v>212663</v>
      </c>
      <c r="G599" s="3">
        <v>37987.6</v>
      </c>
      <c r="H599" s="3">
        <f ca="1" t="shared" si="19"/>
        <v>5.59822152491866</v>
      </c>
      <c r="I599" s="8"/>
    </row>
    <row r="600" hidden="1" spans="1:9">
      <c r="A600" s="3">
        <f>VLOOKUP(B600,Sheet2!$A$1:$B$31,2,0)</f>
        <v>10</v>
      </c>
      <c r="B600" s="3" t="s">
        <v>17</v>
      </c>
      <c r="C600" s="3">
        <v>2019</v>
      </c>
      <c r="D600" s="3">
        <v>152837</v>
      </c>
      <c r="E600" s="3">
        <v>133330</v>
      </c>
      <c r="F600" s="3">
        <f ca="1" t="shared" si="18"/>
        <v>286167</v>
      </c>
      <c r="G600" s="3">
        <v>98656.8</v>
      </c>
      <c r="H600" s="3">
        <f ca="1" t="shared" si="19"/>
        <v>2.90063127934415</v>
      </c>
      <c r="I600" s="9"/>
    </row>
    <row r="601" hidden="1" spans="1:9">
      <c r="A601" s="3">
        <f>VLOOKUP(B601,Sheet2!$A$1:$B$31,2,0)</f>
        <v>11</v>
      </c>
      <c r="B601" s="3" t="s">
        <v>18</v>
      </c>
      <c r="C601" s="3">
        <v>2019</v>
      </c>
      <c r="D601" s="3">
        <v>131299</v>
      </c>
      <c r="E601" s="3">
        <v>121751</v>
      </c>
      <c r="F601" s="3">
        <f ca="1" t="shared" si="18"/>
        <v>253050</v>
      </c>
      <c r="G601" s="3">
        <v>62462</v>
      </c>
      <c r="H601" s="3">
        <f ca="1" t="shared" si="19"/>
        <v>4.05126316800615</v>
      </c>
      <c r="I601" s="10"/>
    </row>
    <row r="602" hidden="1" spans="1:8">
      <c r="A602" s="3">
        <f>VLOOKUP(B602,Sheet2!$A$1:$B$31,2,0)</f>
        <v>12</v>
      </c>
      <c r="B602" s="3" t="s">
        <v>19</v>
      </c>
      <c r="C602" s="3">
        <v>2019</v>
      </c>
      <c r="D602" s="3">
        <v>54377.9</v>
      </c>
      <c r="E602" s="3">
        <v>44289.3</v>
      </c>
      <c r="F602" s="3">
        <f ca="1" t="shared" si="18"/>
        <v>98667.2</v>
      </c>
      <c r="G602" s="3">
        <v>36845.5</v>
      </c>
      <c r="H602" s="3">
        <f ca="1" t="shared" si="19"/>
        <v>2.67786296834077</v>
      </c>
    </row>
    <row r="603" hidden="1" spans="1:8">
      <c r="A603" s="3">
        <f>VLOOKUP(B603,Sheet2!$A$1:$B$31,2,0)</f>
        <v>13</v>
      </c>
      <c r="B603" s="3" t="s">
        <v>20</v>
      </c>
      <c r="C603" s="3">
        <v>2019</v>
      </c>
      <c r="D603" s="3">
        <v>49836.4</v>
      </c>
      <c r="E603" s="3">
        <v>52640.8</v>
      </c>
      <c r="F603" s="3">
        <f ca="1" t="shared" si="18"/>
        <v>102477.2</v>
      </c>
      <c r="G603" s="3">
        <v>42326.6</v>
      </c>
      <c r="H603" s="3">
        <f ca="1" t="shared" si="19"/>
        <v>2.42110634919885</v>
      </c>
    </row>
    <row r="604" hidden="1" spans="1:8">
      <c r="A604" s="3">
        <f>VLOOKUP(B604,Sheet2!$A$1:$B$31,2,0)</f>
        <v>14</v>
      </c>
      <c r="B604" s="3" t="s">
        <v>21</v>
      </c>
      <c r="C604" s="3">
        <v>2019</v>
      </c>
      <c r="D604" s="3">
        <v>38952.5</v>
      </c>
      <c r="E604" s="3">
        <v>35493.8</v>
      </c>
      <c r="F604" s="3">
        <f ca="1" t="shared" si="18"/>
        <v>74446.3</v>
      </c>
      <c r="G604" s="3">
        <v>24667.3</v>
      </c>
      <c r="H604" s="3">
        <f ca="1" t="shared" si="19"/>
        <v>3.01801575364957</v>
      </c>
    </row>
    <row r="605" hidden="1" spans="1:8">
      <c r="A605" s="3">
        <f>VLOOKUP(B605,Sheet2!$A$1:$B$31,2,0)</f>
        <v>15</v>
      </c>
      <c r="B605" s="3" t="s">
        <v>22</v>
      </c>
      <c r="C605" s="3">
        <v>2019</v>
      </c>
      <c r="D605" s="3">
        <v>104739</v>
      </c>
      <c r="E605" s="3">
        <v>86325.6</v>
      </c>
      <c r="F605" s="3">
        <f ca="1" t="shared" si="18"/>
        <v>191064.6</v>
      </c>
      <c r="G605" s="3">
        <v>70540.5</v>
      </c>
      <c r="H605" s="3">
        <f ca="1" t="shared" si="19"/>
        <v>2.70858017734493</v>
      </c>
    </row>
    <row r="606" hidden="1" spans="1:8">
      <c r="A606" s="3">
        <f>VLOOKUP(B606,Sheet2!$A$1:$B$31,2,0)</f>
        <v>16</v>
      </c>
      <c r="B606" s="3" t="s">
        <v>23</v>
      </c>
      <c r="C606" s="3">
        <v>2019</v>
      </c>
      <c r="D606" s="3">
        <v>69508.7</v>
      </c>
      <c r="E606" s="3">
        <v>55659</v>
      </c>
      <c r="F606" s="3">
        <f ca="1" t="shared" si="18"/>
        <v>125167.7</v>
      </c>
      <c r="G606" s="3">
        <v>53717.8</v>
      </c>
      <c r="H606" s="3">
        <f ca="1" t="shared" si="19"/>
        <v>2.33009728618819</v>
      </c>
    </row>
    <row r="607" hidden="1" spans="1:8">
      <c r="A607" s="3">
        <f>VLOOKUP(B607,Sheet2!$A$1:$B$31,2,0)</f>
        <v>17</v>
      </c>
      <c r="B607" s="3" t="s">
        <v>24</v>
      </c>
      <c r="C607" s="3">
        <v>2019</v>
      </c>
      <c r="D607" s="3">
        <v>59747.7</v>
      </c>
      <c r="E607" s="3">
        <v>50664</v>
      </c>
      <c r="F607" s="3">
        <f ca="1" t="shared" si="18"/>
        <v>110411.7</v>
      </c>
      <c r="G607" s="3">
        <v>45429</v>
      </c>
      <c r="H607" s="3">
        <f ca="1" t="shared" si="19"/>
        <v>2.43042329789342</v>
      </c>
    </row>
    <row r="608" hidden="1" spans="1:8">
      <c r="A608" s="3">
        <f>VLOOKUP(B608,Sheet2!$A$1:$B$31,2,0)</f>
        <v>18</v>
      </c>
      <c r="B608" s="3" t="s">
        <v>25</v>
      </c>
      <c r="C608" s="3">
        <v>2019</v>
      </c>
      <c r="D608" s="3">
        <v>52660.4</v>
      </c>
      <c r="E608" s="3">
        <v>42415.4</v>
      </c>
      <c r="F608" s="3">
        <f ca="1" t="shared" si="18"/>
        <v>95075.8</v>
      </c>
      <c r="G608" s="3">
        <v>39894.1</v>
      </c>
      <c r="H608" s="3">
        <f ca="1" t="shared" si="19"/>
        <v>2.38320453400377</v>
      </c>
    </row>
    <row r="609" hidden="1" spans="1:8">
      <c r="A609" s="3">
        <f>VLOOKUP(B609,Sheet2!$A$1:$B$31,2,0)</f>
        <v>19</v>
      </c>
      <c r="B609" s="3" t="s">
        <v>26</v>
      </c>
      <c r="C609" s="3">
        <v>2019</v>
      </c>
      <c r="D609" s="3">
        <v>232459</v>
      </c>
      <c r="E609" s="3">
        <v>167995</v>
      </c>
      <c r="F609" s="3">
        <f ca="1" t="shared" si="18"/>
        <v>400454</v>
      </c>
      <c r="G609" s="3">
        <v>107987</v>
      </c>
      <c r="H609" s="3">
        <f ca="1" t="shared" si="19"/>
        <v>3.70835378332577</v>
      </c>
    </row>
    <row r="610" hidden="1" spans="1:8">
      <c r="A610" s="3">
        <f>VLOOKUP(B610,Sheet2!$A$1:$B$31,2,0)</f>
        <v>20</v>
      </c>
      <c r="B610" s="3" t="s">
        <v>27</v>
      </c>
      <c r="C610" s="3">
        <v>2019</v>
      </c>
      <c r="D610" s="3">
        <v>31646</v>
      </c>
      <c r="E610" s="3">
        <v>30497.4</v>
      </c>
      <c r="F610" s="3">
        <f ca="1" t="shared" si="18"/>
        <v>62143.4</v>
      </c>
      <c r="G610" s="3">
        <v>21237.1</v>
      </c>
      <c r="H610" s="3">
        <f ca="1" t="shared" si="19"/>
        <v>2.92617165243842</v>
      </c>
    </row>
    <row r="611" hidden="1" spans="1:8">
      <c r="A611" s="3">
        <f>VLOOKUP(B611,Sheet2!$A$1:$B$31,2,0)</f>
        <v>21</v>
      </c>
      <c r="B611" s="3" t="s">
        <v>28</v>
      </c>
      <c r="C611" s="3">
        <v>2019</v>
      </c>
      <c r="D611" s="3">
        <v>9737.77</v>
      </c>
      <c r="E611" s="3">
        <v>9521.1</v>
      </c>
      <c r="F611" s="3">
        <f ca="1" t="shared" si="18"/>
        <v>19258.87</v>
      </c>
      <c r="G611" s="3">
        <v>5330.8</v>
      </c>
      <c r="H611" s="3">
        <f ca="1" t="shared" si="19"/>
        <v>3.61275418323704</v>
      </c>
    </row>
    <row r="612" hidden="1" spans="1:8">
      <c r="A612" s="3">
        <f>VLOOKUP(B612,Sheet2!$A$1:$B$31,2,0)</f>
        <v>22</v>
      </c>
      <c r="B612" s="3" t="s">
        <v>29</v>
      </c>
      <c r="C612" s="3">
        <v>2019</v>
      </c>
      <c r="D612" s="3">
        <v>39483.2</v>
      </c>
      <c r="E612" s="3">
        <v>37105</v>
      </c>
      <c r="F612" s="3">
        <f ca="1" t="shared" si="18"/>
        <v>76588.2</v>
      </c>
      <c r="G612" s="3">
        <v>23605.8</v>
      </c>
      <c r="H612" s="3">
        <f ca="1" t="shared" si="19"/>
        <v>3.2444653432631</v>
      </c>
    </row>
    <row r="613" hidden="1" spans="1:8">
      <c r="A613" s="3">
        <f>VLOOKUP(B613,Sheet2!$A$1:$B$31,2,0)</f>
        <v>23</v>
      </c>
      <c r="B613" s="3" t="s">
        <v>30</v>
      </c>
      <c r="C613" s="3">
        <v>2019</v>
      </c>
      <c r="D613" s="3">
        <v>81783.7</v>
      </c>
      <c r="E613" s="3">
        <v>61089</v>
      </c>
      <c r="F613" s="3">
        <f ca="1" t="shared" si="18"/>
        <v>142872.7</v>
      </c>
      <c r="G613" s="3">
        <v>46363.8</v>
      </c>
      <c r="H613" s="3">
        <f ca="1" t="shared" si="19"/>
        <v>3.08155716313158</v>
      </c>
    </row>
    <row r="614" hidden="1" spans="1:8">
      <c r="A614" s="3">
        <f>VLOOKUP(B614,Sheet2!$A$1:$B$31,2,0)</f>
        <v>24</v>
      </c>
      <c r="B614" s="3" t="s">
        <v>31</v>
      </c>
      <c r="C614" s="3">
        <v>2019</v>
      </c>
      <c r="D614" s="3">
        <v>27170.6</v>
      </c>
      <c r="E614" s="3">
        <v>28448.7</v>
      </c>
      <c r="F614" s="3">
        <f ca="1" t="shared" si="18"/>
        <v>55619.3</v>
      </c>
      <c r="G614" s="3">
        <v>16769.3</v>
      </c>
      <c r="H614" s="3">
        <f ca="1" t="shared" si="19"/>
        <v>3.31673355476973</v>
      </c>
    </row>
    <row r="615" hidden="1" spans="1:8">
      <c r="A615" s="3">
        <f>VLOOKUP(B615,Sheet2!$A$1:$B$31,2,0)</f>
        <v>25</v>
      </c>
      <c r="B615" s="3" t="s">
        <v>32</v>
      </c>
      <c r="C615" s="3">
        <v>2019</v>
      </c>
      <c r="D615" s="3">
        <v>32791.37</v>
      </c>
      <c r="E615" s="3">
        <v>31140.08</v>
      </c>
      <c r="F615" s="3">
        <f ca="1" t="shared" si="18"/>
        <v>63931.45</v>
      </c>
      <c r="G615" s="3">
        <v>23223.8</v>
      </c>
      <c r="H615" s="3">
        <f ca="1" t="shared" si="19"/>
        <v>2.7528419121763</v>
      </c>
    </row>
    <row r="616" hidden="1" spans="1:8">
      <c r="A616" s="3">
        <f>VLOOKUP(B616,Sheet2!$A$1:$B$31,2,0)</f>
        <v>26</v>
      </c>
      <c r="B616" s="3" t="s">
        <v>33</v>
      </c>
      <c r="C616" s="3">
        <v>2019</v>
      </c>
      <c r="D616" s="3">
        <v>4973.91</v>
      </c>
      <c r="E616" s="3">
        <v>4695.22</v>
      </c>
      <c r="F616" s="3">
        <f ca="1" t="shared" si="18"/>
        <v>9669.13</v>
      </c>
      <c r="G616" s="3">
        <v>1697.82</v>
      </c>
      <c r="H616" s="3">
        <f ca="1" t="shared" si="19"/>
        <v>5.69502656347552</v>
      </c>
    </row>
    <row r="617" hidden="1" spans="1:8">
      <c r="A617" s="3">
        <f>VLOOKUP(B617,Sheet2!$A$1:$B$31,2,0)</f>
        <v>27</v>
      </c>
      <c r="B617" s="3" t="s">
        <v>34</v>
      </c>
      <c r="C617" s="3">
        <v>2019</v>
      </c>
      <c r="D617" s="3">
        <v>44536.7</v>
      </c>
      <c r="E617" s="3">
        <v>34337.1</v>
      </c>
      <c r="F617" s="3">
        <f ca="1" t="shared" si="18"/>
        <v>78873.8</v>
      </c>
      <c r="G617" s="3">
        <v>25793.2</v>
      </c>
      <c r="H617" s="3">
        <f ca="1" t="shared" si="19"/>
        <v>3.05792999705349</v>
      </c>
    </row>
    <row r="618" hidden="1" spans="1:8">
      <c r="A618" s="3">
        <f>VLOOKUP(B618,Sheet2!$A$1:$B$31,2,0)</f>
        <v>28</v>
      </c>
      <c r="B618" s="3" t="s">
        <v>35</v>
      </c>
      <c r="C618" s="3">
        <v>2019</v>
      </c>
      <c r="D618" s="3">
        <v>19768.5</v>
      </c>
      <c r="E618" s="3">
        <v>20677.9</v>
      </c>
      <c r="F618" s="3">
        <f ca="1" t="shared" si="18"/>
        <v>40446.4</v>
      </c>
      <c r="G618" s="3">
        <v>8718.3</v>
      </c>
      <c r="H618" s="3">
        <f ca="1" t="shared" si="19"/>
        <v>4.63925306539119</v>
      </c>
    </row>
    <row r="619" hidden="1" spans="1:8">
      <c r="A619" s="3">
        <f>VLOOKUP(B619,Sheet2!$A$1:$B$31,2,0)</f>
        <v>29</v>
      </c>
      <c r="B619" s="3" t="s">
        <v>36</v>
      </c>
      <c r="C619" s="3">
        <v>2019</v>
      </c>
      <c r="D619" s="3">
        <v>5846.62</v>
      </c>
      <c r="E619" s="3">
        <v>6639.76</v>
      </c>
      <c r="F619" s="3">
        <f ca="1" t="shared" si="18"/>
        <v>12486.38</v>
      </c>
      <c r="G619" s="3">
        <v>2941.1</v>
      </c>
      <c r="H619" s="3">
        <f ca="1" t="shared" si="19"/>
        <v>4.24547958246914</v>
      </c>
    </row>
    <row r="620" hidden="1" spans="1:8">
      <c r="A620" s="3">
        <f>VLOOKUP(B620,Sheet2!$A$1:$B$31,2,0)</f>
        <v>30</v>
      </c>
      <c r="B620" s="3" t="s">
        <v>37</v>
      </c>
      <c r="C620" s="3">
        <v>2019</v>
      </c>
      <c r="D620" s="3">
        <v>6460.42</v>
      </c>
      <c r="E620" s="3">
        <v>7427.57</v>
      </c>
      <c r="F620" s="3">
        <f ca="1" t="shared" si="18"/>
        <v>13887.99</v>
      </c>
      <c r="G620" s="3">
        <v>3748.48</v>
      </c>
      <c r="H620" s="3">
        <f ca="1" t="shared" si="19"/>
        <v>3.70496574611576</v>
      </c>
    </row>
    <row r="621" hidden="1" spans="1:8">
      <c r="A621" s="3">
        <f>VLOOKUP(B621,Sheet2!$A$1:$B$31,2,0)</f>
        <v>31</v>
      </c>
      <c r="B621" s="3" t="s">
        <v>38</v>
      </c>
      <c r="C621" s="3">
        <v>2019</v>
      </c>
      <c r="D621" s="3">
        <v>23293</v>
      </c>
      <c r="E621" s="3">
        <v>19960.1</v>
      </c>
      <c r="F621" s="3">
        <f ca="1" t="shared" si="18"/>
        <v>43253.1</v>
      </c>
      <c r="G621" s="3">
        <v>13597.1</v>
      </c>
      <c r="H621" s="3">
        <f ca="1" t="shared" si="19"/>
        <v>3.18105331283877</v>
      </c>
    </row>
    <row r="622" hidden="1" spans="1:8">
      <c r="A622" s="3">
        <f>VLOOKUP(B622,Sheet2!$A$1:$B$31,2,0)</f>
        <v>1</v>
      </c>
      <c r="B622" s="3" t="s">
        <v>8</v>
      </c>
      <c r="C622" s="3">
        <v>2020</v>
      </c>
      <c r="D622" s="3">
        <v>188082</v>
      </c>
      <c r="E622" s="3">
        <v>84308</v>
      </c>
      <c r="F622" s="3">
        <f ca="1" t="shared" si="18"/>
        <v>272390</v>
      </c>
      <c r="G622" s="3">
        <v>35943.3</v>
      </c>
      <c r="H622" s="3">
        <f ca="1" t="shared" si="19"/>
        <v>7.57832475037072</v>
      </c>
    </row>
    <row r="623" hidden="1" spans="1:8">
      <c r="A623" s="3">
        <f>VLOOKUP(B623,Sheet2!$A$1:$B$31,2,0)</f>
        <v>2</v>
      </c>
      <c r="B623" s="3" t="s">
        <v>9</v>
      </c>
      <c r="C623" s="3">
        <v>2020</v>
      </c>
      <c r="D623" s="3">
        <v>34145</v>
      </c>
      <c r="E623" s="3">
        <v>38859.4</v>
      </c>
      <c r="F623" s="3">
        <f ca="1" t="shared" si="18"/>
        <v>73004.4</v>
      </c>
      <c r="G623" s="3">
        <v>14008</v>
      </c>
      <c r="H623" s="3">
        <f ca="1" t="shared" si="19"/>
        <v>5.21162193032553</v>
      </c>
    </row>
    <row r="624" spans="1:8">
      <c r="A624" s="3">
        <f>VLOOKUP(B624,Sheet2!$A$1:$B$31,2,0)</f>
        <v>3</v>
      </c>
      <c r="B624" s="3" t="s">
        <v>10</v>
      </c>
      <c r="C624" s="3">
        <v>2020</v>
      </c>
      <c r="D624" s="3">
        <v>80895.2</v>
      </c>
      <c r="E624" s="3">
        <v>60605.2</v>
      </c>
      <c r="F624" s="3">
        <f ca="1" t="shared" si="18"/>
        <v>141500.4</v>
      </c>
      <c r="G624" s="3">
        <v>36013.8</v>
      </c>
      <c r="H624" s="3">
        <f ca="1" t="shared" si="19"/>
        <v>3.92906052679806</v>
      </c>
    </row>
    <row r="625" hidden="1" spans="1:8">
      <c r="A625" s="3">
        <f>VLOOKUP(B625,Sheet2!$A$1:$B$31,2,0)</f>
        <v>4</v>
      </c>
      <c r="B625" s="3" t="s">
        <v>11</v>
      </c>
      <c r="C625" s="3">
        <v>2020</v>
      </c>
      <c r="D625" s="3">
        <v>42497.1</v>
      </c>
      <c r="E625" s="3">
        <v>30640.9</v>
      </c>
      <c r="F625" s="3">
        <f ca="1" t="shared" si="18"/>
        <v>73138</v>
      </c>
      <c r="G625" s="3">
        <v>17835.6</v>
      </c>
      <c r="H625" s="3">
        <f ca="1" t="shared" si="19"/>
        <v>4.10067505438561</v>
      </c>
    </row>
    <row r="626" hidden="1" spans="1:8">
      <c r="A626" s="3">
        <f>VLOOKUP(B626,Sheet2!$A$1:$B$31,2,0)</f>
        <v>5</v>
      </c>
      <c r="B626" s="3" t="s">
        <v>12</v>
      </c>
      <c r="C626" s="3">
        <v>2020</v>
      </c>
      <c r="D626" s="3">
        <v>24969.98</v>
      </c>
      <c r="E626" s="3">
        <v>23249.2</v>
      </c>
      <c r="F626" s="3">
        <f ca="1" t="shared" si="18"/>
        <v>48219.18</v>
      </c>
      <c r="G626" s="3">
        <v>17258</v>
      </c>
      <c r="H626" s="3">
        <f ca="1" t="shared" si="19"/>
        <v>2.79401900567853</v>
      </c>
    </row>
    <row r="627" hidden="1" spans="1:8">
      <c r="A627" s="3">
        <f>VLOOKUP(B627,Sheet2!$A$1:$B$31,2,0)</f>
        <v>6</v>
      </c>
      <c r="B627" s="3" t="s">
        <v>13</v>
      </c>
      <c r="C627" s="3">
        <v>2020</v>
      </c>
      <c r="D627" s="3">
        <v>67988.2</v>
      </c>
      <c r="E627" s="3">
        <v>52209.4</v>
      </c>
      <c r="F627" s="3">
        <f ca="1" t="shared" si="18"/>
        <v>120197.6</v>
      </c>
      <c r="G627" s="3">
        <v>25011.4</v>
      </c>
      <c r="H627" s="3">
        <f ca="1" t="shared" si="19"/>
        <v>4.80571259505665</v>
      </c>
    </row>
    <row r="628" hidden="1" spans="1:8">
      <c r="A628" s="3">
        <f>VLOOKUP(B628,Sheet2!$A$1:$B$31,2,0)</f>
        <v>7</v>
      </c>
      <c r="B628" s="3" t="s">
        <v>14</v>
      </c>
      <c r="C628" s="3">
        <v>2020</v>
      </c>
      <c r="D628" s="3">
        <v>27119.8</v>
      </c>
      <c r="E628" s="3">
        <v>22739.8</v>
      </c>
      <c r="F628" s="3">
        <f ca="1" t="shared" si="18"/>
        <v>49859.6</v>
      </c>
      <c r="G628" s="3">
        <v>12256</v>
      </c>
      <c r="H628" s="3">
        <f ca="1" t="shared" si="19"/>
        <v>4.06817885117493</v>
      </c>
    </row>
    <row r="629" hidden="1" spans="1:8">
      <c r="A629" s="3">
        <f>VLOOKUP(B629,Sheet2!$A$1:$B$31,2,0)</f>
        <v>8</v>
      </c>
      <c r="B629" s="3" t="s">
        <v>15</v>
      </c>
      <c r="C629" s="3">
        <v>2020</v>
      </c>
      <c r="D629" s="3">
        <v>31610.6</v>
      </c>
      <c r="E629" s="3">
        <v>22585.9</v>
      </c>
      <c r="F629" s="3">
        <f ca="1" t="shared" si="18"/>
        <v>54196.5</v>
      </c>
      <c r="G629" s="3">
        <v>13633.4</v>
      </c>
      <c r="H629" s="3">
        <f ca="1" t="shared" si="19"/>
        <v>3.97527395954054</v>
      </c>
    </row>
    <row r="630" hidden="1" spans="1:8">
      <c r="A630" s="3">
        <f>VLOOKUP(B630,Sheet2!$A$1:$B$31,2,0)</f>
        <v>9</v>
      </c>
      <c r="B630" s="3" t="s">
        <v>16</v>
      </c>
      <c r="C630" s="3">
        <v>2020</v>
      </c>
      <c r="D630" s="3">
        <v>155865</v>
      </c>
      <c r="E630" s="3">
        <v>84643</v>
      </c>
      <c r="F630" s="3">
        <f ca="1" t="shared" si="18"/>
        <v>240508</v>
      </c>
      <c r="G630" s="3">
        <v>38963.3</v>
      </c>
      <c r="H630" s="3">
        <f ca="1" t="shared" si="19"/>
        <v>6.17268044544482</v>
      </c>
    </row>
    <row r="631" hidden="1" spans="1:8">
      <c r="A631" s="3">
        <f>VLOOKUP(B631,Sheet2!$A$1:$B$31,2,0)</f>
        <v>10</v>
      </c>
      <c r="B631" s="3" t="s">
        <v>17</v>
      </c>
      <c r="C631" s="3">
        <v>2020</v>
      </c>
      <c r="D631" s="3">
        <v>172580</v>
      </c>
      <c r="E631" s="3">
        <v>154523</v>
      </c>
      <c r="F631" s="3">
        <f ca="1" t="shared" si="18"/>
        <v>327103</v>
      </c>
      <c r="G631" s="3">
        <v>102808</v>
      </c>
      <c r="H631" s="3">
        <f ca="1" t="shared" si="19"/>
        <v>3.18168819547117</v>
      </c>
    </row>
    <row r="632" hidden="1" spans="1:8">
      <c r="A632" s="3">
        <f>VLOOKUP(B632,Sheet2!$A$1:$B$31,2,0)</f>
        <v>11</v>
      </c>
      <c r="B632" s="3" t="s">
        <v>18</v>
      </c>
      <c r="C632" s="3">
        <v>2020</v>
      </c>
      <c r="D632" s="3">
        <v>152234</v>
      </c>
      <c r="E632" s="3">
        <v>143612</v>
      </c>
      <c r="F632" s="3">
        <f ca="1" t="shared" si="18"/>
        <v>295846</v>
      </c>
      <c r="G632" s="3">
        <v>64689.1</v>
      </c>
      <c r="H632" s="3">
        <f ca="1" t="shared" si="19"/>
        <v>4.57335161565086</v>
      </c>
    </row>
    <row r="633" hidden="1" spans="1:8">
      <c r="A633" s="3">
        <f>VLOOKUP(B633,Sheet2!$A$1:$B$31,2,0)</f>
        <v>12</v>
      </c>
      <c r="B633" s="3" t="s">
        <v>19</v>
      </c>
      <c r="C633" s="3">
        <v>2020</v>
      </c>
      <c r="D633" s="3">
        <v>59897.8</v>
      </c>
      <c r="E633" s="3">
        <v>51520.5</v>
      </c>
      <c r="F633" s="3">
        <f ca="1" t="shared" si="18"/>
        <v>111418.3</v>
      </c>
      <c r="G633" s="3">
        <v>38061.5</v>
      </c>
      <c r="H633" s="3">
        <f ca="1" t="shared" si="19"/>
        <v>2.92732288533032</v>
      </c>
    </row>
    <row r="634" hidden="1" spans="1:8">
      <c r="A634" s="3">
        <f>VLOOKUP(B634,Sheet2!$A$1:$B$31,2,0)</f>
        <v>13</v>
      </c>
      <c r="B634" s="3" t="s">
        <v>20</v>
      </c>
      <c r="C634" s="3">
        <v>2020</v>
      </c>
      <c r="D634" s="3">
        <v>56386.9</v>
      </c>
      <c r="E634" s="3">
        <v>59859.7</v>
      </c>
      <c r="F634" s="3">
        <f ca="1" t="shared" si="18"/>
        <v>116246.6</v>
      </c>
      <c r="G634" s="3">
        <v>43608.6</v>
      </c>
      <c r="H634" s="3">
        <f ca="1" t="shared" si="19"/>
        <v>2.66568062262948</v>
      </c>
    </row>
    <row r="635" hidden="1" spans="1:8">
      <c r="A635" s="3">
        <f>VLOOKUP(B635,Sheet2!$A$1:$B$31,2,0)</f>
        <v>14</v>
      </c>
      <c r="B635" s="3" t="s">
        <v>21</v>
      </c>
      <c r="C635" s="3">
        <v>2020</v>
      </c>
      <c r="D635" s="3">
        <v>43608.2</v>
      </c>
      <c r="E635" s="3">
        <v>41409.2</v>
      </c>
      <c r="F635" s="3">
        <f ca="1" t="shared" si="18"/>
        <v>85017.4</v>
      </c>
      <c r="G635" s="3">
        <v>25782</v>
      </c>
      <c r="H635" s="3">
        <f ca="1" t="shared" si="19"/>
        <v>3.29754867737181</v>
      </c>
    </row>
    <row r="636" hidden="1" spans="1:8">
      <c r="A636" s="3">
        <f>VLOOKUP(B636,Sheet2!$A$1:$B$31,2,0)</f>
        <v>15</v>
      </c>
      <c r="B636" s="3" t="s">
        <v>22</v>
      </c>
      <c r="C636" s="3">
        <v>2020</v>
      </c>
      <c r="D636" s="3">
        <v>118349</v>
      </c>
      <c r="E636" s="3">
        <v>97880.6</v>
      </c>
      <c r="F636" s="3">
        <f ca="1" t="shared" si="18"/>
        <v>216229.6</v>
      </c>
      <c r="G636" s="3">
        <v>72798.2</v>
      </c>
      <c r="H636" s="3">
        <f ca="1" t="shared" si="19"/>
        <v>2.97026025368759</v>
      </c>
    </row>
    <row r="637" hidden="1" spans="1:8">
      <c r="A637" s="3">
        <f>VLOOKUP(B637,Sheet2!$A$1:$B$31,2,0)</f>
        <v>16</v>
      </c>
      <c r="B637" s="3" t="s">
        <v>23</v>
      </c>
      <c r="C637" s="3">
        <v>2020</v>
      </c>
      <c r="D637" s="3">
        <v>76446.2</v>
      </c>
      <c r="E637" s="3">
        <v>62866.7</v>
      </c>
      <c r="F637" s="3">
        <f ca="1" t="shared" si="18"/>
        <v>139312.9</v>
      </c>
      <c r="G637" s="3">
        <v>54259.4</v>
      </c>
      <c r="H637" s="3">
        <f ca="1" t="shared" si="19"/>
        <v>2.56753484188915</v>
      </c>
    </row>
    <row r="638" hidden="1" spans="1:8">
      <c r="A638" s="3">
        <f>VLOOKUP(B638,Sheet2!$A$1:$B$31,2,0)</f>
        <v>17</v>
      </c>
      <c r="B638" s="3" t="s">
        <v>24</v>
      </c>
      <c r="C638" s="3">
        <v>2020</v>
      </c>
      <c r="D638" s="3">
        <v>67159.3</v>
      </c>
      <c r="E638" s="3">
        <v>59872.1</v>
      </c>
      <c r="F638" s="3">
        <f ca="1" t="shared" si="18"/>
        <v>127031.4</v>
      </c>
      <c r="G638" s="3">
        <v>43004.5</v>
      </c>
      <c r="H638" s="3">
        <f ca="1" t="shared" si="19"/>
        <v>2.95390947458987</v>
      </c>
    </row>
    <row r="639" hidden="1" spans="1:8">
      <c r="A639" s="3">
        <f>VLOOKUP(B639,Sheet2!$A$1:$B$31,2,0)</f>
        <v>18</v>
      </c>
      <c r="B639" s="3" t="s">
        <v>25</v>
      </c>
      <c r="C639" s="3">
        <v>2020</v>
      </c>
      <c r="D639" s="3">
        <v>57912</v>
      </c>
      <c r="E639" s="3">
        <v>49402.8</v>
      </c>
      <c r="F639" s="3">
        <f ca="1" t="shared" si="18"/>
        <v>107314.8</v>
      </c>
      <c r="G639" s="3">
        <v>41542.6</v>
      </c>
      <c r="H639" s="3">
        <f ca="1" t="shared" si="19"/>
        <v>2.58324707649497</v>
      </c>
    </row>
    <row r="640" hidden="1" spans="1:8">
      <c r="A640" s="3">
        <f>VLOOKUP(B640,Sheet2!$A$1:$B$31,2,0)</f>
        <v>19</v>
      </c>
      <c r="B640" s="3" t="s">
        <v>26</v>
      </c>
      <c r="C640" s="3">
        <v>2020</v>
      </c>
      <c r="D640" s="3">
        <v>267638</v>
      </c>
      <c r="E640" s="3">
        <v>195681</v>
      </c>
      <c r="F640" s="3">
        <f ca="1" t="shared" si="18"/>
        <v>463319</v>
      </c>
      <c r="G640" s="3">
        <v>111152</v>
      </c>
      <c r="H640" s="3">
        <f ca="1" t="shared" si="19"/>
        <v>4.16833705196488</v>
      </c>
    </row>
    <row r="641" hidden="1" spans="1:8">
      <c r="A641" s="3">
        <f>VLOOKUP(B641,Sheet2!$A$1:$B$31,2,0)</f>
        <v>20</v>
      </c>
      <c r="B641" s="3" t="s">
        <v>27</v>
      </c>
      <c r="C641" s="3">
        <v>2020</v>
      </c>
      <c r="D641" s="3">
        <v>34665.6</v>
      </c>
      <c r="E641" s="3">
        <v>35196.8</v>
      </c>
      <c r="F641" s="3">
        <f ca="1" t="shared" si="18"/>
        <v>69862.4</v>
      </c>
      <c r="G641" s="3">
        <v>22120.9</v>
      </c>
      <c r="H641" s="3">
        <f ca="1" t="shared" si="19"/>
        <v>3.15820784868608</v>
      </c>
    </row>
    <row r="642" hidden="1" spans="1:8">
      <c r="A642" s="3">
        <f>VLOOKUP(B642,Sheet2!$A$1:$B$31,2,0)</f>
        <v>21</v>
      </c>
      <c r="B642" s="3" t="s">
        <v>28</v>
      </c>
      <c r="C642" s="3">
        <v>2020</v>
      </c>
      <c r="D642" s="3">
        <v>10312.5</v>
      </c>
      <c r="E642" s="3">
        <v>9981.72</v>
      </c>
      <c r="F642" s="3">
        <f ca="1" t="shared" ref="F642:F705" si="20">D642+E642</f>
        <v>20294.22</v>
      </c>
      <c r="G642" s="3">
        <v>5566.24</v>
      </c>
      <c r="H642" s="3">
        <f ca="1" t="shared" ref="H642:H705" si="21">F642/G642</f>
        <v>3.64594771335767</v>
      </c>
    </row>
    <row r="643" hidden="1" spans="1:8">
      <c r="A643" s="3">
        <f>VLOOKUP(B643,Sheet2!$A$1:$B$31,2,0)</f>
        <v>22</v>
      </c>
      <c r="B643" s="3" t="s">
        <v>29</v>
      </c>
      <c r="C643" s="3">
        <v>2020</v>
      </c>
      <c r="D643" s="3">
        <v>42854.3</v>
      </c>
      <c r="E643" s="3">
        <v>41908.9</v>
      </c>
      <c r="F643" s="3">
        <f ca="1" t="shared" si="20"/>
        <v>84763.2</v>
      </c>
      <c r="G643" s="3">
        <v>25041.4</v>
      </c>
      <c r="H643" s="3">
        <f ca="1" t="shared" si="21"/>
        <v>3.38492256822702</v>
      </c>
    </row>
    <row r="644" hidden="1" spans="1:8">
      <c r="A644" s="3">
        <f>VLOOKUP(B644,Sheet2!$A$1:$B$31,2,0)</f>
        <v>23</v>
      </c>
      <c r="B644" s="3" t="s">
        <v>30</v>
      </c>
      <c r="C644" s="3">
        <v>2020</v>
      </c>
      <c r="D644" s="3">
        <v>90350.5</v>
      </c>
      <c r="E644" s="3">
        <v>69504.9</v>
      </c>
      <c r="F644" s="3">
        <f ca="1" t="shared" si="20"/>
        <v>159855.4</v>
      </c>
      <c r="G644" s="3">
        <v>48501.6</v>
      </c>
      <c r="H644" s="3">
        <f ca="1" t="shared" si="21"/>
        <v>3.29587889884045</v>
      </c>
    </row>
    <row r="645" hidden="1" spans="1:8">
      <c r="A645" s="3">
        <f>VLOOKUP(B645,Sheet2!$A$1:$B$31,2,0)</f>
        <v>24</v>
      </c>
      <c r="B645" s="3" t="s">
        <v>31</v>
      </c>
      <c r="C645" s="3">
        <v>2020</v>
      </c>
      <c r="D645" s="3">
        <v>28276.3</v>
      </c>
      <c r="E645" s="3">
        <v>32235.8</v>
      </c>
      <c r="F645" s="3">
        <f ca="1" t="shared" si="20"/>
        <v>60512.1</v>
      </c>
      <c r="G645" s="3">
        <v>17860.4</v>
      </c>
      <c r="H645" s="3">
        <f ca="1" t="shared" si="21"/>
        <v>3.38805961792569</v>
      </c>
    </row>
    <row r="646" hidden="1" spans="1:8">
      <c r="A646" s="3">
        <f>VLOOKUP(B646,Sheet2!$A$1:$B$31,2,0)</f>
        <v>25</v>
      </c>
      <c r="B646" s="3" t="s">
        <v>32</v>
      </c>
      <c r="C646" s="3">
        <v>2020</v>
      </c>
      <c r="D646" s="3">
        <v>35474.99</v>
      </c>
      <c r="E646" s="3">
        <v>34651.14</v>
      </c>
      <c r="F646" s="3">
        <f ca="1" t="shared" si="20"/>
        <v>70126.13</v>
      </c>
      <c r="G646" s="3">
        <v>24555.7</v>
      </c>
      <c r="H646" s="3">
        <f ca="1" t="shared" si="21"/>
        <v>2.85579845005437</v>
      </c>
    </row>
    <row r="647" hidden="1" spans="1:8">
      <c r="A647" s="3">
        <f>VLOOKUP(B647,Sheet2!$A$1:$B$31,2,0)</f>
        <v>26</v>
      </c>
      <c r="B647" s="3" t="s">
        <v>33</v>
      </c>
      <c r="C647" s="3">
        <v>2020</v>
      </c>
      <c r="D647" s="3">
        <v>5418.09</v>
      </c>
      <c r="E647" s="3">
        <v>4956.89</v>
      </c>
      <c r="F647" s="3">
        <f ca="1" t="shared" si="20"/>
        <v>10374.98</v>
      </c>
      <c r="G647" s="3">
        <v>1902.74</v>
      </c>
      <c r="H647" s="3">
        <f ca="1" t="shared" si="21"/>
        <v>5.45265249061879</v>
      </c>
    </row>
    <row r="648" hidden="1" spans="1:8">
      <c r="A648" s="3">
        <f>VLOOKUP(B648,Sheet2!$A$1:$B$31,2,0)</f>
        <v>27</v>
      </c>
      <c r="B648" s="3" t="s">
        <v>34</v>
      </c>
      <c r="C648" s="3">
        <v>2020</v>
      </c>
      <c r="D648" s="3">
        <v>49448.6</v>
      </c>
      <c r="E648" s="3">
        <v>39185.8</v>
      </c>
      <c r="F648" s="3">
        <f ca="1" t="shared" si="20"/>
        <v>88634.4</v>
      </c>
      <c r="G648" s="3">
        <v>26014.1</v>
      </c>
      <c r="H648" s="3">
        <f ca="1" t="shared" si="21"/>
        <v>3.40716765138905</v>
      </c>
    </row>
    <row r="649" hidden="1" spans="1:8">
      <c r="A649" s="3">
        <f>VLOOKUP(B649,Sheet2!$A$1:$B$31,2,0)</f>
        <v>28</v>
      </c>
      <c r="B649" s="3" t="s">
        <v>35</v>
      </c>
      <c r="C649" s="3">
        <v>2020</v>
      </c>
      <c r="D649" s="3">
        <v>20992.7</v>
      </c>
      <c r="E649" s="3">
        <v>22159.4</v>
      </c>
      <c r="F649" s="3">
        <f ca="1" t="shared" si="20"/>
        <v>43152.1</v>
      </c>
      <c r="G649" s="3">
        <v>8979.7</v>
      </c>
      <c r="H649" s="3">
        <f ca="1" t="shared" si="21"/>
        <v>4.80551688809203</v>
      </c>
    </row>
    <row r="650" hidden="1" spans="1:8">
      <c r="A650" s="3">
        <f>VLOOKUP(B650,Sheet2!$A$1:$B$31,2,0)</f>
        <v>29</v>
      </c>
      <c r="B650" s="3" t="s">
        <v>36</v>
      </c>
      <c r="C650" s="3">
        <v>2020</v>
      </c>
      <c r="D650" s="3">
        <v>6302.79</v>
      </c>
      <c r="E650" s="3">
        <v>6578.23</v>
      </c>
      <c r="F650" s="3">
        <f ca="1" t="shared" si="20"/>
        <v>12881.02</v>
      </c>
      <c r="G650" s="3">
        <v>3009.8</v>
      </c>
      <c r="H650" s="3">
        <f ca="1" t="shared" si="21"/>
        <v>4.27969300285733</v>
      </c>
    </row>
    <row r="651" hidden="1" spans="1:8">
      <c r="A651" s="3">
        <f>VLOOKUP(B651,Sheet2!$A$1:$B$31,2,0)</f>
        <v>30</v>
      </c>
      <c r="B651" s="3" t="s">
        <v>37</v>
      </c>
      <c r="C651" s="3">
        <v>2020</v>
      </c>
      <c r="D651" s="3">
        <v>7136.24</v>
      </c>
      <c r="E651" s="3">
        <v>7981.87</v>
      </c>
      <c r="F651" s="3">
        <f ca="1" t="shared" si="20"/>
        <v>15118.11</v>
      </c>
      <c r="G651" s="3">
        <v>3956.3</v>
      </c>
      <c r="H651" s="3">
        <f ca="1" t="shared" si="21"/>
        <v>3.8212749285949</v>
      </c>
    </row>
    <row r="652" hidden="1" spans="1:8">
      <c r="A652" s="3">
        <f>VLOOKUP(B652,Sheet2!$A$1:$B$31,2,0)</f>
        <v>31</v>
      </c>
      <c r="B652" s="3" t="s">
        <v>38</v>
      </c>
      <c r="C652" s="3">
        <v>2020</v>
      </c>
      <c r="D652" s="3">
        <v>24824.7</v>
      </c>
      <c r="E652" s="3">
        <v>22377.6</v>
      </c>
      <c r="F652" s="3">
        <f ca="1" t="shared" si="20"/>
        <v>47202.3</v>
      </c>
      <c r="G652" s="3">
        <v>13800.7</v>
      </c>
      <c r="H652" s="3">
        <f ca="1" t="shared" si="21"/>
        <v>3.42028302912171</v>
      </c>
    </row>
    <row r="653" hidden="1" spans="1:8">
      <c r="A653" s="3">
        <f>VLOOKUP(B653,Sheet2!$A$1:$B$31,2,0)</f>
        <v>1</v>
      </c>
      <c r="B653" s="3" t="s">
        <v>8</v>
      </c>
      <c r="C653" s="3">
        <v>2021</v>
      </c>
      <c r="D653" s="3">
        <v>199742</v>
      </c>
      <c r="E653" s="3">
        <v>89032.9</v>
      </c>
      <c r="F653" s="3">
        <f ca="1" t="shared" si="20"/>
        <v>288774.9</v>
      </c>
      <c r="G653" s="3">
        <v>40269.6</v>
      </c>
      <c r="H653" s="3">
        <f ca="1" t="shared" si="21"/>
        <v>7.17103969247273</v>
      </c>
    </row>
    <row r="654" hidden="1" spans="1:8">
      <c r="A654" s="3">
        <f>VLOOKUP(B654,Sheet2!$A$1:$B$31,2,0)</f>
        <v>2</v>
      </c>
      <c r="B654" s="3" t="s">
        <v>9</v>
      </c>
      <c r="C654" s="3">
        <v>2021</v>
      </c>
      <c r="D654" s="3">
        <v>35903.1</v>
      </c>
      <c r="E654" s="3">
        <v>41054.2</v>
      </c>
      <c r="F654" s="3">
        <f ca="1" t="shared" si="20"/>
        <v>76957.3</v>
      </c>
      <c r="G654" s="3">
        <v>15695</v>
      </c>
      <c r="H654" s="3">
        <f ca="1" t="shared" si="21"/>
        <v>4.90330041414463</v>
      </c>
    </row>
    <row r="655" spans="1:8">
      <c r="A655" s="3">
        <f>VLOOKUP(B655,Sheet2!$A$1:$B$31,2,0)</f>
        <v>3</v>
      </c>
      <c r="B655" s="3" t="s">
        <v>10</v>
      </c>
      <c r="C655" s="3">
        <v>2021</v>
      </c>
      <c r="D655" s="3">
        <v>89019.5</v>
      </c>
      <c r="E655" s="3">
        <v>67962.8</v>
      </c>
      <c r="F655" s="3">
        <f ca="1" t="shared" si="20"/>
        <v>156982.3</v>
      </c>
      <c r="G655" s="3">
        <v>40391.3</v>
      </c>
      <c r="H655" s="3">
        <f ca="1" t="shared" si="21"/>
        <v>3.88653744742061</v>
      </c>
    </row>
    <row r="656" hidden="1" spans="1:8">
      <c r="A656" s="3">
        <f>VLOOKUP(B656,Sheet2!$A$1:$B$31,2,0)</f>
        <v>4</v>
      </c>
      <c r="B656" s="3" t="s">
        <v>11</v>
      </c>
      <c r="C656" s="3">
        <v>2021</v>
      </c>
      <c r="D656" s="3">
        <v>46813.9</v>
      </c>
      <c r="E656" s="3">
        <v>34214.9</v>
      </c>
      <c r="F656" s="3">
        <f ca="1" t="shared" si="20"/>
        <v>81028.8</v>
      </c>
      <c r="G656" s="3">
        <v>22590.2</v>
      </c>
      <c r="H656" s="3">
        <f ca="1" t="shared" si="21"/>
        <v>3.58690051438234</v>
      </c>
    </row>
    <row r="657" hidden="1" spans="1:8">
      <c r="A657" s="3">
        <f>VLOOKUP(B657,Sheet2!$A$1:$B$31,2,0)</f>
        <v>5</v>
      </c>
      <c r="B657" s="3" t="s">
        <v>12</v>
      </c>
      <c r="C657" s="3">
        <v>2021</v>
      </c>
      <c r="D657" s="3">
        <v>27534.03</v>
      </c>
      <c r="E657" s="3">
        <v>24965.01</v>
      </c>
      <c r="F657" s="3">
        <f ca="1" t="shared" si="20"/>
        <v>52499.04</v>
      </c>
      <c r="G657" s="3">
        <v>20514.2</v>
      </c>
      <c r="H657" s="3">
        <f ca="1" t="shared" si="21"/>
        <v>2.55915609675249</v>
      </c>
    </row>
    <row r="658" hidden="1" spans="1:8">
      <c r="A658" s="3">
        <f>VLOOKUP(B658,Sheet2!$A$1:$B$31,2,0)</f>
        <v>6</v>
      </c>
      <c r="B658" s="3" t="s">
        <v>13</v>
      </c>
      <c r="C658" s="3">
        <v>2021</v>
      </c>
      <c r="D658" s="3">
        <v>69995.5</v>
      </c>
      <c r="E658" s="3">
        <v>53134.8</v>
      </c>
      <c r="F658" s="3">
        <f ca="1" t="shared" si="20"/>
        <v>123130.3</v>
      </c>
      <c r="G658" s="3">
        <v>27584.1</v>
      </c>
      <c r="H658" s="3">
        <f ca="1" t="shared" si="21"/>
        <v>4.46381429881707</v>
      </c>
    </row>
    <row r="659" hidden="1" spans="1:8">
      <c r="A659" s="3">
        <f>VLOOKUP(B659,Sheet2!$A$1:$B$31,2,0)</f>
        <v>7</v>
      </c>
      <c r="B659" s="3" t="s">
        <v>14</v>
      </c>
      <c r="C659" s="3">
        <v>2021</v>
      </c>
      <c r="D659" s="3">
        <v>29461.82</v>
      </c>
      <c r="E659" s="3">
        <v>24594.72</v>
      </c>
      <c r="F659" s="3">
        <f ca="1" t="shared" si="20"/>
        <v>54056.54</v>
      </c>
      <c r="G659" s="3">
        <v>13235.5</v>
      </c>
      <c r="H659" s="3">
        <f ca="1" t="shared" si="21"/>
        <v>4.08420837898077</v>
      </c>
    </row>
    <row r="660" hidden="1" spans="1:8">
      <c r="A660" s="3">
        <f>VLOOKUP(B660,Sheet2!$A$1:$B$31,2,0)</f>
        <v>8</v>
      </c>
      <c r="B660" s="3" t="s">
        <v>15</v>
      </c>
      <c r="C660" s="3">
        <v>2021</v>
      </c>
      <c r="D660" s="3">
        <v>34319.9</v>
      </c>
      <c r="E660" s="3">
        <v>24409.5</v>
      </c>
      <c r="F660" s="3">
        <f ca="1" t="shared" si="20"/>
        <v>58729.4</v>
      </c>
      <c r="G660" s="3">
        <v>14879.2</v>
      </c>
      <c r="H660" s="3">
        <f ca="1" t="shared" si="21"/>
        <v>3.94708048819829</v>
      </c>
    </row>
    <row r="661" hidden="1" spans="1:8">
      <c r="A661" s="3">
        <f>VLOOKUP(B661,Sheet2!$A$1:$B$31,2,0)</f>
        <v>9</v>
      </c>
      <c r="B661" s="3" t="s">
        <v>16</v>
      </c>
      <c r="C661" s="3">
        <v>2021</v>
      </c>
      <c r="D661" s="3">
        <v>175831</v>
      </c>
      <c r="E661" s="3">
        <v>96032.1</v>
      </c>
      <c r="F661" s="3">
        <f ca="1" t="shared" si="20"/>
        <v>271863.1</v>
      </c>
      <c r="G661" s="3">
        <v>43214.9</v>
      </c>
      <c r="H661" s="3">
        <f ca="1" t="shared" si="21"/>
        <v>6.29095751696753</v>
      </c>
    </row>
    <row r="662" hidden="1" spans="1:8">
      <c r="A662" s="3">
        <f>VLOOKUP(B662,Sheet2!$A$1:$B$31,2,0)</f>
        <v>10</v>
      </c>
      <c r="B662" s="3" t="s">
        <v>17</v>
      </c>
      <c r="C662" s="3">
        <v>2021</v>
      </c>
      <c r="D662" s="3">
        <v>196016</v>
      </c>
      <c r="E662" s="3">
        <v>180539</v>
      </c>
      <c r="F662" s="3">
        <f ca="1" t="shared" si="20"/>
        <v>376555</v>
      </c>
      <c r="G662" s="3">
        <v>116364</v>
      </c>
      <c r="H662" s="3">
        <f ca="1" t="shared" si="21"/>
        <v>3.23600941872057</v>
      </c>
    </row>
    <row r="663" hidden="1" spans="1:8">
      <c r="A663" s="3">
        <f>VLOOKUP(B663,Sheet2!$A$1:$B$31,2,0)</f>
        <v>11</v>
      </c>
      <c r="B663" s="3" t="s">
        <v>18</v>
      </c>
      <c r="C663" s="3">
        <v>2021</v>
      </c>
      <c r="D663" s="3">
        <v>170815.99</v>
      </c>
      <c r="E663" s="3">
        <v>165756</v>
      </c>
      <c r="F663" s="3">
        <f ca="1" t="shared" si="20"/>
        <v>336571.99</v>
      </c>
      <c r="G663" s="3">
        <v>73515.8</v>
      </c>
      <c r="H663" s="3">
        <f ca="1" t="shared" si="21"/>
        <v>4.57822658530547</v>
      </c>
    </row>
    <row r="664" hidden="1" spans="1:8">
      <c r="A664" s="3">
        <f>VLOOKUP(B664,Sheet2!$A$1:$B$31,2,0)</f>
        <v>12</v>
      </c>
      <c r="B664" s="3" t="s">
        <v>19</v>
      </c>
      <c r="C664" s="3">
        <v>2021</v>
      </c>
      <c r="D664" s="3">
        <v>66868.5</v>
      </c>
      <c r="E664" s="3">
        <v>58669.8</v>
      </c>
      <c r="F664" s="3">
        <f ca="1" t="shared" si="20"/>
        <v>125538.3</v>
      </c>
      <c r="G664" s="3">
        <v>42959.2</v>
      </c>
      <c r="H664" s="3">
        <f ca="1" t="shared" si="21"/>
        <v>2.92226810555131</v>
      </c>
    </row>
    <row r="665" hidden="1" spans="1:8">
      <c r="A665" s="3">
        <f>VLOOKUP(B665,Sheet2!$A$1:$B$31,2,0)</f>
        <v>13</v>
      </c>
      <c r="B665" s="3" t="s">
        <v>20</v>
      </c>
      <c r="C665" s="3">
        <v>2021</v>
      </c>
      <c r="D665" s="3">
        <v>62091.5</v>
      </c>
      <c r="E665" s="3">
        <v>67894.6</v>
      </c>
      <c r="F665" s="3">
        <f ca="1" t="shared" si="20"/>
        <v>129986.1</v>
      </c>
      <c r="G665" s="3">
        <v>48810.4</v>
      </c>
      <c r="H665" s="3">
        <f ca="1" t="shared" si="21"/>
        <v>2.66308204808811</v>
      </c>
    </row>
    <row r="666" hidden="1" spans="1:8">
      <c r="A666" s="3">
        <f>VLOOKUP(B666,Sheet2!$A$1:$B$31,2,0)</f>
        <v>14</v>
      </c>
      <c r="B666" s="3" t="s">
        <v>21</v>
      </c>
      <c r="C666" s="3">
        <v>2021</v>
      </c>
      <c r="D666" s="3">
        <v>47455.7</v>
      </c>
      <c r="E666" s="3">
        <v>47173</v>
      </c>
      <c r="F666" s="3">
        <f ca="1" t="shared" si="20"/>
        <v>94628.7</v>
      </c>
      <c r="G666" s="3">
        <v>29619.7</v>
      </c>
      <c r="H666" s="3">
        <f ca="1" t="shared" si="21"/>
        <v>3.19478927875704</v>
      </c>
    </row>
    <row r="667" hidden="1" spans="1:8">
      <c r="A667" s="3">
        <f>VLOOKUP(B667,Sheet2!$A$1:$B$31,2,0)</f>
        <v>15</v>
      </c>
      <c r="B667" s="3" t="s">
        <v>22</v>
      </c>
      <c r="C667" s="3">
        <v>2021</v>
      </c>
      <c r="D667" s="3">
        <v>130482</v>
      </c>
      <c r="E667" s="3">
        <v>111035</v>
      </c>
      <c r="F667" s="3">
        <f ca="1" t="shared" si="20"/>
        <v>241517</v>
      </c>
      <c r="G667" s="3">
        <v>83095.9</v>
      </c>
      <c r="H667" s="3">
        <f ca="1" t="shared" si="21"/>
        <v>2.90648515751078</v>
      </c>
    </row>
    <row r="668" hidden="1" spans="1:8">
      <c r="A668" s="3">
        <f>VLOOKUP(B668,Sheet2!$A$1:$B$31,2,0)</f>
        <v>16</v>
      </c>
      <c r="B668" s="3" t="s">
        <v>23</v>
      </c>
      <c r="C668" s="3">
        <v>2021</v>
      </c>
      <c r="D668" s="3">
        <v>83456.2</v>
      </c>
      <c r="E668" s="3">
        <v>70540.8</v>
      </c>
      <c r="F668" s="3">
        <f ca="1" t="shared" si="20"/>
        <v>153997</v>
      </c>
      <c r="G668" s="3">
        <v>58887.4</v>
      </c>
      <c r="H668" s="3">
        <f ca="1" t="shared" si="21"/>
        <v>2.6151095140896</v>
      </c>
    </row>
    <row r="669" hidden="1" spans="1:8">
      <c r="A669" s="3">
        <f>VLOOKUP(B669,Sheet2!$A$1:$B$31,2,0)</f>
        <v>17</v>
      </c>
      <c r="B669" s="3" t="s">
        <v>24</v>
      </c>
      <c r="C669" s="3">
        <v>2021</v>
      </c>
      <c r="D669" s="3">
        <v>72476.7</v>
      </c>
      <c r="E669" s="3">
        <v>67038</v>
      </c>
      <c r="F669" s="3">
        <f ca="1" t="shared" si="20"/>
        <v>139514.7</v>
      </c>
      <c r="G669" s="3">
        <v>50012.9</v>
      </c>
      <c r="H669" s="3">
        <f ca="1" t="shared" si="21"/>
        <v>2.78957428983322</v>
      </c>
    </row>
    <row r="670" hidden="1" spans="1:8">
      <c r="A670" s="3">
        <f>VLOOKUP(B670,Sheet2!$A$1:$B$31,2,0)</f>
        <v>18</v>
      </c>
      <c r="B670" s="3" t="s">
        <v>25</v>
      </c>
      <c r="C670" s="3">
        <v>2021</v>
      </c>
      <c r="D670" s="3">
        <v>62891</v>
      </c>
      <c r="E670" s="3">
        <v>55845</v>
      </c>
      <c r="F670" s="3">
        <f ca="1" t="shared" si="20"/>
        <v>118736</v>
      </c>
      <c r="G670" s="3">
        <v>46063.1</v>
      </c>
      <c r="H670" s="3">
        <f ca="1" t="shared" si="21"/>
        <v>2.57768148474592</v>
      </c>
    </row>
    <row r="671" hidden="1" spans="1:8">
      <c r="A671" s="3">
        <f>VLOOKUP(B671,Sheet2!$A$1:$B$31,2,0)</f>
        <v>19</v>
      </c>
      <c r="B671" s="3" t="s">
        <v>26</v>
      </c>
      <c r="C671" s="3">
        <v>2021</v>
      </c>
      <c r="D671" s="3">
        <v>293169</v>
      </c>
      <c r="E671" s="3">
        <v>222234</v>
      </c>
      <c r="F671" s="3">
        <f ca="1" t="shared" si="20"/>
        <v>515403</v>
      </c>
      <c r="G671" s="3">
        <v>124370</v>
      </c>
      <c r="H671" s="3">
        <f ca="1" t="shared" si="21"/>
        <v>4.1441103159926</v>
      </c>
    </row>
    <row r="672" hidden="1" spans="1:8">
      <c r="A672" s="3">
        <f>VLOOKUP(B672,Sheet2!$A$1:$B$31,2,0)</f>
        <v>20</v>
      </c>
      <c r="B672" s="3" t="s">
        <v>27</v>
      </c>
      <c r="C672" s="3">
        <v>2021</v>
      </c>
      <c r="D672" s="3">
        <v>36879.4</v>
      </c>
      <c r="E672" s="3">
        <v>39851.1</v>
      </c>
      <c r="F672" s="3">
        <f ca="1" t="shared" si="20"/>
        <v>76730.5</v>
      </c>
      <c r="G672" s="3">
        <v>24740.9</v>
      </c>
      <c r="H672" s="3">
        <f ca="1" t="shared" si="21"/>
        <v>3.1013625211694</v>
      </c>
    </row>
    <row r="673" hidden="1" spans="1:8">
      <c r="A673" s="3">
        <f>VLOOKUP(B673,Sheet2!$A$1:$B$31,2,0)</f>
        <v>21</v>
      </c>
      <c r="B673" s="3" t="s">
        <v>28</v>
      </c>
      <c r="C673" s="3">
        <v>2021</v>
      </c>
      <c r="D673" s="3">
        <v>11338.7</v>
      </c>
      <c r="E673" s="3">
        <v>10607.1</v>
      </c>
      <c r="F673" s="3">
        <f ca="1" t="shared" si="20"/>
        <v>21945.8</v>
      </c>
      <c r="G673" s="3">
        <v>6475.2</v>
      </c>
      <c r="H673" s="3">
        <f ca="1" t="shared" si="21"/>
        <v>3.38920805534964</v>
      </c>
    </row>
    <row r="674" hidden="1" spans="1:8">
      <c r="A674" s="3">
        <f>VLOOKUP(B674,Sheet2!$A$1:$B$31,2,0)</f>
        <v>22</v>
      </c>
      <c r="B674" s="3" t="s">
        <v>29</v>
      </c>
      <c r="C674" s="3">
        <v>2021</v>
      </c>
      <c r="D674" s="3">
        <v>45908</v>
      </c>
      <c r="E674" s="3">
        <v>46927.6</v>
      </c>
      <c r="F674" s="3">
        <f ca="1" t="shared" si="20"/>
        <v>92835.6</v>
      </c>
      <c r="G674" s="3">
        <v>27894</v>
      </c>
      <c r="H674" s="3">
        <f ca="1" t="shared" si="21"/>
        <v>3.32815659281566</v>
      </c>
    </row>
    <row r="675" hidden="1" spans="1:8">
      <c r="A675" s="3">
        <f>VLOOKUP(B675,Sheet2!$A$1:$B$31,2,0)</f>
        <v>23</v>
      </c>
      <c r="B675" s="3" t="s">
        <v>30</v>
      </c>
      <c r="C675" s="3">
        <v>2021</v>
      </c>
      <c r="D675" s="3">
        <v>100077</v>
      </c>
      <c r="E675" s="3">
        <v>80340.4</v>
      </c>
      <c r="F675" s="3">
        <f ca="1" t="shared" si="20"/>
        <v>180417.4</v>
      </c>
      <c r="G675" s="3">
        <v>53850.8</v>
      </c>
      <c r="H675" s="3">
        <f ca="1" t="shared" si="21"/>
        <v>3.35031977240821</v>
      </c>
    </row>
    <row r="676" hidden="1" spans="1:8">
      <c r="A676" s="3">
        <f>VLOOKUP(B676,Sheet2!$A$1:$B$31,2,0)</f>
        <v>24</v>
      </c>
      <c r="B676" s="3" t="s">
        <v>31</v>
      </c>
      <c r="C676" s="3">
        <v>2021</v>
      </c>
      <c r="D676" s="3">
        <v>30123.4</v>
      </c>
      <c r="E676" s="3">
        <v>35890.2</v>
      </c>
      <c r="F676" s="3">
        <f ca="1" t="shared" si="20"/>
        <v>66013.6</v>
      </c>
      <c r="G676" s="3">
        <v>19586.4</v>
      </c>
      <c r="H676" s="3">
        <f ca="1" t="shared" si="21"/>
        <v>3.3703794469632</v>
      </c>
    </row>
    <row r="677" hidden="1" spans="1:8">
      <c r="A677" s="3">
        <f>VLOOKUP(B677,Sheet2!$A$1:$B$31,2,0)</f>
        <v>25</v>
      </c>
      <c r="B677" s="3" t="s">
        <v>32</v>
      </c>
      <c r="C677" s="3">
        <v>2021</v>
      </c>
      <c r="D677" s="3">
        <v>36328.37</v>
      </c>
      <c r="E677" s="3">
        <v>38564.37</v>
      </c>
      <c r="F677" s="3">
        <f ca="1" t="shared" si="20"/>
        <v>74892.74</v>
      </c>
      <c r="G677" s="3">
        <v>27146.8</v>
      </c>
      <c r="H677" s="3">
        <f ca="1" t="shared" si="21"/>
        <v>2.75880545773351</v>
      </c>
    </row>
    <row r="678" hidden="1" spans="1:8">
      <c r="A678" s="3">
        <f>VLOOKUP(B678,Sheet2!$A$1:$B$31,2,0)</f>
        <v>26</v>
      </c>
      <c r="B678" s="3" t="s">
        <v>33</v>
      </c>
      <c r="C678" s="3">
        <v>2021</v>
      </c>
      <c r="D678" s="3">
        <v>5596.45</v>
      </c>
      <c r="E678" s="3">
        <v>5135.32</v>
      </c>
      <c r="F678" s="3">
        <f ca="1" t="shared" si="20"/>
        <v>10731.77</v>
      </c>
      <c r="G678" s="3">
        <v>2080.17</v>
      </c>
      <c r="H678" s="3">
        <f ca="1" t="shared" si="21"/>
        <v>5.15908315185778</v>
      </c>
    </row>
    <row r="679" hidden="1" spans="1:8">
      <c r="A679" s="3">
        <f>VLOOKUP(B679,Sheet2!$A$1:$B$31,2,0)</f>
        <v>27</v>
      </c>
      <c r="B679" s="3" t="s">
        <v>34</v>
      </c>
      <c r="C679" s="3">
        <v>2021</v>
      </c>
      <c r="D679" s="3">
        <v>54625.1</v>
      </c>
      <c r="E679" s="3">
        <v>44379.3</v>
      </c>
      <c r="F679" s="3">
        <f ca="1" t="shared" si="20"/>
        <v>99004.4</v>
      </c>
      <c r="G679" s="3">
        <v>29801</v>
      </c>
      <c r="H679" s="3">
        <f ca="1" t="shared" si="21"/>
        <v>3.32218381933492</v>
      </c>
    </row>
    <row r="680" hidden="1" spans="1:8">
      <c r="A680" s="3">
        <f>VLOOKUP(B680,Sheet2!$A$1:$B$31,2,0)</f>
        <v>28</v>
      </c>
      <c r="B680" s="3" t="s">
        <v>35</v>
      </c>
      <c r="C680" s="3">
        <v>2021</v>
      </c>
      <c r="D680" s="3">
        <v>22614.6</v>
      </c>
      <c r="E680" s="3">
        <v>23905.3</v>
      </c>
      <c r="F680" s="3">
        <f ca="1" t="shared" si="20"/>
        <v>46519.9</v>
      </c>
      <c r="G680" s="3">
        <v>10243.3</v>
      </c>
      <c r="H680" s="3">
        <f ca="1" t="shared" si="21"/>
        <v>4.54149541651616</v>
      </c>
    </row>
    <row r="681" hidden="1" spans="1:8">
      <c r="A681" s="3">
        <f>VLOOKUP(B681,Sheet2!$A$1:$B$31,2,0)</f>
        <v>29</v>
      </c>
      <c r="B681" s="3" t="s">
        <v>36</v>
      </c>
      <c r="C681" s="3">
        <v>2021</v>
      </c>
      <c r="D681" s="3">
        <v>6737.05</v>
      </c>
      <c r="E681" s="3">
        <v>6856.44</v>
      </c>
      <c r="F681" s="3">
        <f ca="1" t="shared" si="20"/>
        <v>13593.49</v>
      </c>
      <c r="G681" s="3">
        <v>3346.63</v>
      </c>
      <c r="H681" s="3">
        <f ca="1" t="shared" si="21"/>
        <v>4.06184430307503</v>
      </c>
    </row>
    <row r="682" hidden="1" spans="1:8">
      <c r="A682" s="3">
        <f>VLOOKUP(B682,Sheet2!$A$1:$B$31,2,0)</f>
        <v>30</v>
      </c>
      <c r="B682" s="3" t="s">
        <v>37</v>
      </c>
      <c r="C682" s="3">
        <v>2021</v>
      </c>
      <c r="D682" s="3">
        <v>7484</v>
      </c>
      <c r="E682" s="3">
        <v>8461</v>
      </c>
      <c r="F682" s="3">
        <f ca="1" t="shared" si="20"/>
        <v>15945</v>
      </c>
      <c r="G682" s="3">
        <v>4522.31</v>
      </c>
      <c r="H682" s="3">
        <f ca="1" t="shared" si="21"/>
        <v>3.52585293798966</v>
      </c>
    </row>
    <row r="683" hidden="1" spans="1:8">
      <c r="A683" s="3">
        <f>VLOOKUP(B683,Sheet2!$A$1:$B$31,2,0)</f>
        <v>31</v>
      </c>
      <c r="B683" s="3" t="s">
        <v>38</v>
      </c>
      <c r="C683" s="3">
        <v>2021</v>
      </c>
      <c r="D683" s="3">
        <v>26662.1</v>
      </c>
      <c r="E683" s="3">
        <v>25508.6</v>
      </c>
      <c r="F683" s="3">
        <f ca="1" t="shared" si="20"/>
        <v>52170.7</v>
      </c>
      <c r="G683" s="3">
        <v>15983.7</v>
      </c>
      <c r="H683" s="3">
        <f ca="1" t="shared" si="21"/>
        <v>3.26399394383028</v>
      </c>
    </row>
    <row r="684" hidden="1" spans="1:8">
      <c r="A684" s="3">
        <f>VLOOKUP(B684,Sheet2!$A$1:$B$31,2,0)</f>
        <v>1</v>
      </c>
      <c r="B684" s="3" t="s">
        <v>8</v>
      </c>
      <c r="C684" s="3">
        <v>2022</v>
      </c>
      <c r="D684" s="3">
        <v>218629</v>
      </c>
      <c r="E684" s="3">
        <v>98008.9</v>
      </c>
      <c r="F684" s="3">
        <f ca="1" t="shared" si="20"/>
        <v>316637.9</v>
      </c>
      <c r="G684" s="3">
        <v>41611</v>
      </c>
      <c r="H684" s="3">
        <f ca="1" t="shared" si="21"/>
        <v>7.60947585974862</v>
      </c>
    </row>
    <row r="685" hidden="1" spans="1:8">
      <c r="A685" s="3">
        <f>VLOOKUP(B685,Sheet2!$A$1:$B$31,2,0)</f>
        <v>2</v>
      </c>
      <c r="B685" s="3" t="s">
        <v>9</v>
      </c>
      <c r="C685" s="3">
        <v>2022</v>
      </c>
      <c r="D685" s="3">
        <v>40488</v>
      </c>
      <c r="E685" s="3">
        <v>42615.2</v>
      </c>
      <c r="F685" s="3">
        <f ca="1" t="shared" si="20"/>
        <v>83103.2</v>
      </c>
      <c r="G685" s="3">
        <v>16311</v>
      </c>
      <c r="H685" s="3">
        <f ca="1" t="shared" si="21"/>
        <v>5.09491754031022</v>
      </c>
    </row>
    <row r="686" spans="1:8">
      <c r="A686" s="3">
        <f>VLOOKUP(B686,Sheet2!$A$1:$B$31,2,0)</f>
        <v>3</v>
      </c>
      <c r="B686" s="3" t="s">
        <v>10</v>
      </c>
      <c r="C686" s="3">
        <v>2022</v>
      </c>
      <c r="D686" s="3">
        <v>100279</v>
      </c>
      <c r="E686" s="3">
        <v>76650.8</v>
      </c>
      <c r="F686" s="3">
        <f ca="1" t="shared" si="20"/>
        <v>176929.8</v>
      </c>
      <c r="G686" s="3">
        <v>42370</v>
      </c>
      <c r="H686" s="3">
        <f ca="1" t="shared" si="21"/>
        <v>4.17582723625206</v>
      </c>
    </row>
    <row r="687" hidden="1" spans="1:8">
      <c r="A687" s="3">
        <f>VLOOKUP(B687,Sheet2!$A$1:$B$31,2,0)</f>
        <v>4</v>
      </c>
      <c r="B687" s="3" t="s">
        <v>11</v>
      </c>
      <c r="C687" s="3">
        <v>2022</v>
      </c>
      <c r="D687" s="3">
        <v>53647</v>
      </c>
      <c r="E687" s="3">
        <v>37731.9</v>
      </c>
      <c r="F687" s="3">
        <f ca="1" t="shared" si="20"/>
        <v>91378.9</v>
      </c>
      <c r="G687" s="3">
        <v>25643</v>
      </c>
      <c r="H687" s="3">
        <f ca="1" t="shared" si="21"/>
        <v>3.56350271029131</v>
      </c>
    </row>
    <row r="688" hidden="1" spans="1:8">
      <c r="A688" s="3">
        <f>VLOOKUP(B688,Sheet2!$A$1:$B$31,2,0)</f>
        <v>5</v>
      </c>
      <c r="B688" s="3" t="s">
        <v>12</v>
      </c>
      <c r="C688" s="3">
        <v>2022</v>
      </c>
      <c r="D688" s="3">
        <v>32313.63</v>
      </c>
      <c r="E688" s="3">
        <v>26918.95</v>
      </c>
      <c r="F688" s="3">
        <f ca="1" t="shared" si="20"/>
        <v>59232.58</v>
      </c>
      <c r="G688" s="3">
        <v>23159</v>
      </c>
      <c r="H688" s="3">
        <f ca="1" t="shared" si="21"/>
        <v>2.55764843041582</v>
      </c>
    </row>
    <row r="689" hidden="1" spans="1:8">
      <c r="A689" s="3">
        <f>VLOOKUP(B689,Sheet2!$A$1:$B$31,2,0)</f>
        <v>6</v>
      </c>
      <c r="B689" s="3" t="s">
        <v>13</v>
      </c>
      <c r="C689" s="3">
        <v>2022</v>
      </c>
      <c r="D689" s="3">
        <v>75376</v>
      </c>
      <c r="E689" s="3">
        <v>54429.8</v>
      </c>
      <c r="F689" s="3">
        <f ca="1" t="shared" si="20"/>
        <v>129805.8</v>
      </c>
      <c r="G689" s="3">
        <v>28975</v>
      </c>
      <c r="H689" s="3">
        <f ca="1" t="shared" si="21"/>
        <v>4.47992407247627</v>
      </c>
    </row>
    <row r="690" hidden="1" spans="1:8">
      <c r="A690" s="3">
        <f>VLOOKUP(B690,Sheet2!$A$1:$B$31,2,0)</f>
        <v>7</v>
      </c>
      <c r="B690" s="3" t="s">
        <v>14</v>
      </c>
      <c r="C690" s="3">
        <v>2022</v>
      </c>
      <c r="D690" s="3">
        <v>32595.37</v>
      </c>
      <c r="E690" s="5">
        <v>26313.82</v>
      </c>
      <c r="F690" s="6">
        <f ca="1" t="shared" si="20"/>
        <v>58909.19</v>
      </c>
      <c r="G690" s="3">
        <v>13070</v>
      </c>
      <c r="H690" s="3">
        <f ca="1" t="shared" si="21"/>
        <v>4.50720657995409</v>
      </c>
    </row>
    <row r="691" hidden="1" spans="1:8">
      <c r="A691" s="3">
        <f>VLOOKUP(B691,Sheet2!$A$1:$B$31,2,0)</f>
        <v>8</v>
      </c>
      <c r="B691" s="3" t="s">
        <v>15</v>
      </c>
      <c r="C691" s="3">
        <v>2022</v>
      </c>
      <c r="D691" s="3">
        <v>38783</v>
      </c>
      <c r="E691" s="3">
        <v>25386.5</v>
      </c>
      <c r="F691" s="3">
        <f ca="1" t="shared" si="20"/>
        <v>64169.5</v>
      </c>
      <c r="G691" s="3">
        <v>15901</v>
      </c>
      <c r="H691" s="3">
        <f ca="1" t="shared" si="21"/>
        <v>4.0355638010188</v>
      </c>
    </row>
    <row r="692" hidden="1" spans="1:8">
      <c r="A692" s="3">
        <f>VLOOKUP(B692,Sheet2!$A$1:$B$31,2,0)</f>
        <v>9</v>
      </c>
      <c r="B692" s="3" t="s">
        <v>16</v>
      </c>
      <c r="C692" s="3">
        <v>2022</v>
      </c>
      <c r="D692" s="3">
        <v>192293</v>
      </c>
      <c r="E692" s="3">
        <v>103417</v>
      </c>
      <c r="F692" s="3">
        <f ca="1" t="shared" si="20"/>
        <v>295710</v>
      </c>
      <c r="G692" s="3">
        <v>44653</v>
      </c>
      <c r="H692" s="3">
        <f ca="1" t="shared" si="21"/>
        <v>6.6223993908584</v>
      </c>
    </row>
    <row r="693" hidden="1" spans="1:8">
      <c r="A693" s="3">
        <f>VLOOKUP(B693,Sheet2!$A$1:$B$31,2,0)</f>
        <v>10</v>
      </c>
      <c r="B693" s="3" t="s">
        <v>17</v>
      </c>
      <c r="C693" s="3">
        <v>2022</v>
      </c>
      <c r="D693" s="3">
        <v>218696</v>
      </c>
      <c r="E693" s="3">
        <v>206488</v>
      </c>
      <c r="F693" s="3">
        <f ca="1" t="shared" si="20"/>
        <v>425184</v>
      </c>
      <c r="G693" s="3">
        <v>122876</v>
      </c>
      <c r="H693" s="3">
        <f ca="1" t="shared" si="21"/>
        <v>3.46026888896123</v>
      </c>
    </row>
    <row r="694" hidden="1" spans="1:8">
      <c r="A694" s="3">
        <f>VLOOKUP(B694,Sheet2!$A$1:$B$31,2,0)</f>
        <v>11</v>
      </c>
      <c r="B694" s="3" t="s">
        <v>18</v>
      </c>
      <c r="C694" s="3">
        <v>2022</v>
      </c>
      <c r="D694" s="3">
        <v>196340</v>
      </c>
      <c r="E694" s="3">
        <v>189808.33</v>
      </c>
      <c r="F694" s="3">
        <f ca="1" t="shared" si="20"/>
        <v>386148.33</v>
      </c>
      <c r="G694" s="3">
        <v>77715</v>
      </c>
      <c r="H694" s="3">
        <f ca="1" t="shared" si="21"/>
        <v>4.96877475390851</v>
      </c>
    </row>
    <row r="695" hidden="1" spans="1:8">
      <c r="A695" s="3">
        <f>VLOOKUP(B695,Sheet2!$A$1:$B$31,2,0)</f>
        <v>12</v>
      </c>
      <c r="B695" s="3" t="s">
        <v>19</v>
      </c>
      <c r="C695" s="3">
        <v>2022</v>
      </c>
      <c r="D695" s="3">
        <v>75196</v>
      </c>
      <c r="E695" s="3">
        <v>67549.8</v>
      </c>
      <c r="F695" s="3">
        <f ca="1" t="shared" si="20"/>
        <v>142745.8</v>
      </c>
      <c r="G695" s="3">
        <v>45045</v>
      </c>
      <c r="H695" s="3">
        <f ca="1" t="shared" si="21"/>
        <v>3.16895992895993</v>
      </c>
    </row>
    <row r="696" hidden="1" spans="1:8">
      <c r="A696" s="3">
        <f>VLOOKUP(B696,Sheet2!$A$1:$B$31,2,0)</f>
        <v>13</v>
      </c>
      <c r="B696" s="3" t="s">
        <v>20</v>
      </c>
      <c r="C696" s="3">
        <v>2022</v>
      </c>
      <c r="D696" s="3">
        <v>72928</v>
      </c>
      <c r="E696" s="3">
        <v>75890.6</v>
      </c>
      <c r="F696" s="3">
        <f ca="1" t="shared" si="20"/>
        <v>148818.6</v>
      </c>
      <c r="G696" s="3">
        <v>53110</v>
      </c>
      <c r="H696" s="3">
        <f ca="1" t="shared" si="21"/>
        <v>2.80208247034457</v>
      </c>
    </row>
    <row r="697" hidden="1" spans="1:8">
      <c r="A697" s="3">
        <f>VLOOKUP(B697,Sheet2!$A$1:$B$31,2,0)</f>
        <v>14</v>
      </c>
      <c r="B697" s="3" t="s">
        <v>21</v>
      </c>
      <c r="C697" s="3">
        <v>2022</v>
      </c>
      <c r="D697" s="3">
        <v>53162</v>
      </c>
      <c r="E697" s="3">
        <v>52762</v>
      </c>
      <c r="F697" s="3">
        <f ca="1" t="shared" si="20"/>
        <v>105924</v>
      </c>
      <c r="G697" s="3">
        <v>32075</v>
      </c>
      <c r="H697" s="3">
        <f ca="1" t="shared" si="21"/>
        <v>3.30238503507404</v>
      </c>
    </row>
    <row r="698" hidden="1" spans="1:8">
      <c r="A698" s="3">
        <f>VLOOKUP(B698,Sheet2!$A$1:$B$31,2,0)</f>
        <v>15</v>
      </c>
      <c r="B698" s="3" t="s">
        <v>22</v>
      </c>
      <c r="C698" s="3">
        <v>2022</v>
      </c>
      <c r="D698" s="3">
        <v>146076</v>
      </c>
      <c r="E698" s="3">
        <v>124048</v>
      </c>
      <c r="F698" s="3">
        <f ca="1" t="shared" si="20"/>
        <v>270124</v>
      </c>
      <c r="G698" s="3">
        <v>87435</v>
      </c>
      <c r="H698" s="3">
        <f ca="1" t="shared" si="21"/>
        <v>3.08942643106308</v>
      </c>
    </row>
    <row r="699" hidden="1" spans="1:8">
      <c r="A699" s="3">
        <f>VLOOKUP(B699,Sheet2!$A$1:$B$31,2,0)</f>
        <v>16</v>
      </c>
      <c r="B699" s="3" t="s">
        <v>23</v>
      </c>
      <c r="C699" s="3">
        <v>2022</v>
      </c>
      <c r="D699" s="3">
        <v>93173</v>
      </c>
      <c r="E699" s="3">
        <v>76075.61</v>
      </c>
      <c r="F699" s="3">
        <f ca="1" t="shared" si="20"/>
        <v>169248.61</v>
      </c>
      <c r="G699" s="3">
        <v>61345</v>
      </c>
      <c r="H699" s="3">
        <f ca="1" t="shared" si="21"/>
        <v>2.75896340370038</v>
      </c>
    </row>
    <row r="700" hidden="1" spans="1:8">
      <c r="A700" s="3">
        <f>VLOOKUP(B700,Sheet2!$A$1:$B$31,2,0)</f>
        <v>17</v>
      </c>
      <c r="B700" s="3" t="s">
        <v>24</v>
      </c>
      <c r="C700" s="3">
        <v>2022</v>
      </c>
      <c r="D700" s="3">
        <v>79564</v>
      </c>
      <c r="E700" s="3">
        <v>74230</v>
      </c>
      <c r="F700" s="3">
        <f ca="1" t="shared" si="20"/>
        <v>153794</v>
      </c>
      <c r="G700" s="3">
        <v>53735</v>
      </c>
      <c r="H700" s="3">
        <f ca="1" t="shared" si="21"/>
        <v>2.86208244161161</v>
      </c>
    </row>
    <row r="701" hidden="1" spans="1:8">
      <c r="A701" s="3">
        <f>VLOOKUP(B701,Sheet2!$A$1:$B$31,2,0)</f>
        <v>18</v>
      </c>
      <c r="B701" s="3" t="s">
        <v>25</v>
      </c>
      <c r="C701" s="3">
        <v>2022</v>
      </c>
      <c r="D701" s="3">
        <v>70142</v>
      </c>
      <c r="E701" s="3">
        <v>62290</v>
      </c>
      <c r="F701" s="3">
        <f ca="1" t="shared" si="20"/>
        <v>132432</v>
      </c>
      <c r="G701" s="3">
        <v>48670</v>
      </c>
      <c r="H701" s="3">
        <f ca="1" t="shared" si="21"/>
        <v>2.72101910828025</v>
      </c>
    </row>
    <row r="702" hidden="1" spans="1:8">
      <c r="A702" s="3">
        <f>VLOOKUP(B702,Sheet2!$A$1:$B$31,2,0)</f>
        <v>19</v>
      </c>
      <c r="B702" s="3" t="s">
        <v>26</v>
      </c>
      <c r="C702" s="3">
        <v>2022</v>
      </c>
      <c r="D702" s="3">
        <v>322358</v>
      </c>
      <c r="E702" s="3">
        <v>245502</v>
      </c>
      <c r="F702" s="3">
        <f ca="1" t="shared" si="20"/>
        <v>567860</v>
      </c>
      <c r="G702" s="3">
        <v>129119</v>
      </c>
      <c r="H702" s="3">
        <f ca="1" t="shared" si="21"/>
        <v>4.39795847241692</v>
      </c>
    </row>
    <row r="703" hidden="1" spans="1:8">
      <c r="A703" s="3">
        <f>VLOOKUP(B703,Sheet2!$A$1:$B$31,2,0)</f>
        <v>20</v>
      </c>
      <c r="B703" s="3" t="s">
        <v>27</v>
      </c>
      <c r="C703" s="3">
        <v>2022</v>
      </c>
      <c r="D703" s="3">
        <v>40212</v>
      </c>
      <c r="E703" s="3">
        <v>44718.1</v>
      </c>
      <c r="F703" s="3">
        <f ca="1" t="shared" si="20"/>
        <v>84930.1</v>
      </c>
      <c r="G703" s="3">
        <v>26301</v>
      </c>
      <c r="H703" s="3">
        <f ca="1" t="shared" si="21"/>
        <v>3.22915858712596</v>
      </c>
    </row>
    <row r="704" hidden="1" spans="1:8">
      <c r="A704" s="3">
        <f>VLOOKUP(B704,Sheet2!$A$1:$B$31,2,0)</f>
        <v>21</v>
      </c>
      <c r="B704" s="3" t="s">
        <v>28</v>
      </c>
      <c r="C704" s="3">
        <v>2022</v>
      </c>
      <c r="D704" s="3">
        <v>12322</v>
      </c>
      <c r="E704" s="3">
        <v>11090.3</v>
      </c>
      <c r="F704" s="3">
        <f ca="1" t="shared" si="20"/>
        <v>23412.3</v>
      </c>
      <c r="G704" s="3">
        <v>6818</v>
      </c>
      <c r="H704" s="3">
        <f ca="1" t="shared" si="21"/>
        <v>3.43389557054855</v>
      </c>
    </row>
    <row r="705" hidden="1" spans="1:8">
      <c r="A705" s="3">
        <f>VLOOKUP(B705,Sheet2!$A$1:$B$31,2,0)</f>
        <v>22</v>
      </c>
      <c r="B705" s="3" t="s">
        <v>29</v>
      </c>
      <c r="C705" s="3">
        <v>2022</v>
      </c>
      <c r="D705" s="3">
        <v>49567</v>
      </c>
      <c r="E705" s="3">
        <v>50051.89</v>
      </c>
      <c r="F705" s="3">
        <f ca="1" t="shared" si="20"/>
        <v>99618.89</v>
      </c>
      <c r="G705" s="3">
        <v>29129</v>
      </c>
      <c r="H705" s="3">
        <f ca="1" t="shared" si="21"/>
        <v>3.41992138418758</v>
      </c>
    </row>
    <row r="706" hidden="1" spans="1:8">
      <c r="A706" s="3">
        <f>VLOOKUP(B706,Sheet2!$A$1:$B$31,2,0)</f>
        <v>23</v>
      </c>
      <c r="B706" s="3" t="s">
        <v>30</v>
      </c>
      <c r="C706" s="3">
        <v>2022</v>
      </c>
      <c r="D706" s="3">
        <v>111661</v>
      </c>
      <c r="E706" s="3">
        <v>92350.4</v>
      </c>
      <c r="F706" s="3">
        <f ca="1" t="shared" ref="F706:F745" si="22">D706+E706</f>
        <v>204011.4</v>
      </c>
      <c r="G706" s="3">
        <v>56750</v>
      </c>
      <c r="H706" s="3">
        <f ca="1" t="shared" ref="H706:H745" si="23">F706/G706</f>
        <v>3.59491453744493</v>
      </c>
    </row>
    <row r="707" hidden="1" spans="1:8">
      <c r="A707" s="3">
        <f>VLOOKUP(B707,Sheet2!$A$1:$B$31,2,0)</f>
        <v>24</v>
      </c>
      <c r="B707" s="3" t="s">
        <v>31</v>
      </c>
      <c r="C707" s="3">
        <v>2022</v>
      </c>
      <c r="D707" s="3">
        <v>32831</v>
      </c>
      <c r="E707" s="3">
        <v>40284.2</v>
      </c>
      <c r="F707" s="3">
        <f ca="1" t="shared" si="22"/>
        <v>73115.2</v>
      </c>
      <c r="G707" s="3">
        <v>20165</v>
      </c>
      <c r="H707" s="3">
        <f ca="1" t="shared" si="23"/>
        <v>3.62584676419539</v>
      </c>
    </row>
    <row r="708" hidden="1" spans="1:8">
      <c r="A708" s="3">
        <f>VLOOKUP(B708,Sheet2!$A$1:$B$31,2,0)</f>
        <v>25</v>
      </c>
      <c r="B708" s="3" t="s">
        <v>32</v>
      </c>
      <c r="C708" s="3">
        <v>2022</v>
      </c>
      <c r="D708" s="3">
        <v>39403.69</v>
      </c>
      <c r="E708" s="3">
        <v>42255.68</v>
      </c>
      <c r="F708" s="3">
        <f ca="1" t="shared" si="22"/>
        <v>81659.37</v>
      </c>
      <c r="G708" s="3">
        <v>28954</v>
      </c>
      <c r="H708" s="3">
        <f ca="1" t="shared" si="23"/>
        <v>2.82031394625958</v>
      </c>
    </row>
    <row r="709" hidden="1" spans="1:8">
      <c r="A709" s="3">
        <f>VLOOKUP(B709,Sheet2!$A$1:$B$31,2,0)</f>
        <v>26</v>
      </c>
      <c r="B709" s="3" t="s">
        <v>33</v>
      </c>
      <c r="C709" s="3">
        <v>2022</v>
      </c>
      <c r="D709" s="3">
        <v>6356.24</v>
      </c>
      <c r="E709" s="3">
        <v>5416.32</v>
      </c>
      <c r="F709" s="3">
        <f ca="1" t="shared" si="22"/>
        <v>11772.56</v>
      </c>
      <c r="G709" s="3">
        <v>2133</v>
      </c>
      <c r="H709" s="3">
        <f ca="1" t="shared" si="23"/>
        <v>5.51924988279419</v>
      </c>
    </row>
    <row r="710" hidden="1" spans="1:8">
      <c r="A710" s="3">
        <f>VLOOKUP(B710,Sheet2!$A$1:$B$31,2,0)</f>
        <v>27</v>
      </c>
      <c r="B710" s="3" t="s">
        <v>34</v>
      </c>
      <c r="C710" s="3">
        <v>2022</v>
      </c>
      <c r="D710" s="3">
        <v>61957</v>
      </c>
      <c r="E710" s="3">
        <v>48957.3</v>
      </c>
      <c r="F710" s="3">
        <f ca="1" t="shared" si="22"/>
        <v>110914.3</v>
      </c>
      <c r="G710" s="3">
        <v>32773</v>
      </c>
      <c r="H710" s="3">
        <f ca="1" t="shared" si="23"/>
        <v>3.38431940926983</v>
      </c>
    </row>
    <row r="711" hidden="1" spans="1:8">
      <c r="A711" s="3">
        <f>VLOOKUP(B711,Sheet2!$A$1:$B$31,2,0)</f>
        <v>28</v>
      </c>
      <c r="B711" s="3" t="s">
        <v>35</v>
      </c>
      <c r="C711" s="3">
        <v>2022</v>
      </c>
      <c r="D711" s="3">
        <v>24896</v>
      </c>
      <c r="E711" s="3">
        <v>25389.8</v>
      </c>
      <c r="F711" s="3">
        <f ca="1" t="shared" si="22"/>
        <v>50285.8</v>
      </c>
      <c r="G711" s="3">
        <v>11202</v>
      </c>
      <c r="H711" s="3">
        <f ca="1" t="shared" si="23"/>
        <v>4.48900196393501</v>
      </c>
    </row>
    <row r="712" hidden="1" spans="1:8">
      <c r="A712" s="3">
        <f>VLOOKUP(B712,Sheet2!$A$1:$B$31,2,0)</f>
        <v>29</v>
      </c>
      <c r="B712" s="3" t="s">
        <v>36</v>
      </c>
      <c r="C712" s="3">
        <v>2022</v>
      </c>
      <c r="D712" s="3">
        <v>7622</v>
      </c>
      <c r="E712" s="3">
        <v>7082.44</v>
      </c>
      <c r="F712" s="3">
        <f ca="1" t="shared" si="22"/>
        <v>14704.44</v>
      </c>
      <c r="G712" s="3">
        <v>3610</v>
      </c>
      <c r="H712" s="3">
        <f ca="1" t="shared" si="23"/>
        <v>4.07325207756233</v>
      </c>
    </row>
    <row r="713" hidden="1" spans="1:8">
      <c r="A713" s="3">
        <f>VLOOKUP(B713,Sheet2!$A$1:$B$31,2,0)</f>
        <v>30</v>
      </c>
      <c r="B713" s="3" t="s">
        <v>37</v>
      </c>
      <c r="C713" s="3">
        <v>2022</v>
      </c>
      <c r="D713" s="3">
        <v>8485</v>
      </c>
      <c r="E713" s="3">
        <v>8969.7</v>
      </c>
      <c r="F713" s="3">
        <f ca="1" t="shared" si="22"/>
        <v>17454.7</v>
      </c>
      <c r="G713" s="3">
        <v>5070</v>
      </c>
      <c r="H713" s="3">
        <f ca="1" t="shared" si="23"/>
        <v>3.442741617357</v>
      </c>
    </row>
    <row r="714" hidden="1" spans="1:8">
      <c r="A714" s="3">
        <f>VLOOKUP(B714,Sheet2!$A$1:$B$31,2,0)</f>
        <v>31</v>
      </c>
      <c r="B714" s="3" t="s">
        <v>38</v>
      </c>
      <c r="C714" s="3">
        <v>2022</v>
      </c>
      <c r="D714" s="3">
        <v>30848</v>
      </c>
      <c r="E714" s="3">
        <v>27845.6</v>
      </c>
      <c r="F714" s="3">
        <f ca="1" t="shared" si="22"/>
        <v>58693.6</v>
      </c>
      <c r="G714" s="3">
        <v>17741</v>
      </c>
      <c r="H714" s="3">
        <f ca="1" t="shared" si="23"/>
        <v>3.30835916802886</v>
      </c>
    </row>
    <row r="715" hidden="1" spans="1:8">
      <c r="A715" s="3">
        <f>VLOOKUP(B715,Sheet2!$A$1:$B$31,2,0)</f>
        <v>1</v>
      </c>
      <c r="B715" s="1" t="s">
        <v>8</v>
      </c>
      <c r="C715" s="3">
        <v>2023</v>
      </c>
      <c r="D715" s="3">
        <v>246430</v>
      </c>
      <c r="E715" s="3">
        <v>110835.5</v>
      </c>
      <c r="F715" s="3">
        <f ca="1" t="shared" si="22"/>
        <v>357265.5</v>
      </c>
      <c r="G715" s="3">
        <v>43760.7</v>
      </c>
      <c r="H715" s="3">
        <f ca="1" t="shared" si="23"/>
        <v>8.1640718727077</v>
      </c>
    </row>
    <row r="716" hidden="1" spans="1:8">
      <c r="A716" s="3">
        <f>VLOOKUP(B716,Sheet2!$A$1:$B$31,2,0)</f>
        <v>2</v>
      </c>
      <c r="B716" s="1" t="s">
        <v>9</v>
      </c>
      <c r="C716" s="3">
        <v>2023</v>
      </c>
      <c r="D716" s="3">
        <v>44520.56</v>
      </c>
      <c r="E716" s="3">
        <v>44765.03</v>
      </c>
      <c r="F716" s="3">
        <f ca="1" t="shared" si="22"/>
        <v>89285.59</v>
      </c>
      <c r="G716" s="3">
        <v>16737.3</v>
      </c>
      <c r="H716" s="3">
        <f ca="1" t="shared" si="23"/>
        <v>5.33452767172722</v>
      </c>
    </row>
    <row r="717" spans="1:8">
      <c r="A717" s="3">
        <f>VLOOKUP(B717,Sheet2!$A$1:$B$31,2,0)</f>
        <v>3</v>
      </c>
      <c r="B717" s="1" t="s">
        <v>10</v>
      </c>
      <c r="C717" s="3">
        <v>2023</v>
      </c>
      <c r="D717" s="3">
        <v>112840.42</v>
      </c>
      <c r="E717" s="3">
        <v>86603.09</v>
      </c>
      <c r="F717" s="3">
        <f ca="1" t="shared" si="22"/>
        <v>199443.51</v>
      </c>
      <c r="G717" s="3">
        <v>43944.1</v>
      </c>
      <c r="H717" s="3">
        <f ca="1" t="shared" si="23"/>
        <v>4.53857309627459</v>
      </c>
    </row>
    <row r="718" hidden="1" spans="1:8">
      <c r="A718" s="3">
        <f>VLOOKUP(B718,Sheet2!$A$1:$B$31,2,0)</f>
        <v>4</v>
      </c>
      <c r="B718" s="1" t="s">
        <v>11</v>
      </c>
      <c r="C718" s="3">
        <v>2023</v>
      </c>
      <c r="D718" s="3">
        <v>57863.29</v>
      </c>
      <c r="E718" s="3">
        <v>41944.07</v>
      </c>
      <c r="F718" s="3">
        <f ca="1" t="shared" si="22"/>
        <v>99807.36</v>
      </c>
      <c r="G718" s="3">
        <v>25698.2</v>
      </c>
      <c r="H718" s="3">
        <f ca="1" t="shared" si="23"/>
        <v>3.8838268828167</v>
      </c>
    </row>
    <row r="719" hidden="1" spans="1:8">
      <c r="A719" s="3">
        <f>VLOOKUP(B719,Sheet2!$A$1:$B$31,2,0)</f>
        <v>5</v>
      </c>
      <c r="B719" s="1" t="s">
        <v>12</v>
      </c>
      <c r="C719" s="3">
        <v>2023</v>
      </c>
      <c r="D719" s="3">
        <v>36317.56</v>
      </c>
      <c r="E719" s="3">
        <v>30064.05</v>
      </c>
      <c r="F719" s="3">
        <f ca="1" t="shared" si="22"/>
        <v>66381.61</v>
      </c>
      <c r="G719" s="3">
        <v>24627</v>
      </c>
      <c r="H719" s="3">
        <f ca="1" t="shared" si="23"/>
        <v>2.69548097616437</v>
      </c>
    </row>
    <row r="720" hidden="1" spans="1:8">
      <c r="A720" s="3">
        <f>VLOOKUP(B720,Sheet2!$A$1:$B$31,2,0)</f>
        <v>6</v>
      </c>
      <c r="B720" s="1" t="s">
        <v>13</v>
      </c>
      <c r="C720" s="3">
        <v>2023</v>
      </c>
      <c r="D720" s="3">
        <v>80296.8</v>
      </c>
      <c r="E720" s="3">
        <v>54909.3</v>
      </c>
      <c r="F720" s="3">
        <f ca="1" t="shared" si="22"/>
        <v>135206.1</v>
      </c>
      <c r="G720" s="3">
        <v>30209.4</v>
      </c>
      <c r="H720" s="3">
        <f ca="1" t="shared" si="23"/>
        <v>4.47563010188882</v>
      </c>
    </row>
    <row r="721" hidden="1" spans="1:8">
      <c r="A721" s="3">
        <f>VLOOKUP(B721,Sheet2!$A$1:$B$31,2,0)</f>
        <v>7</v>
      </c>
      <c r="B721" s="1" t="s">
        <v>14</v>
      </c>
      <c r="C721" s="3">
        <v>2023</v>
      </c>
      <c r="D721" s="3">
        <v>36352.85</v>
      </c>
      <c r="E721" s="3">
        <v>27777.34</v>
      </c>
      <c r="F721" s="3">
        <f ca="1" t="shared" si="22"/>
        <v>64130.19</v>
      </c>
      <c r="G721" s="3">
        <v>13531.2</v>
      </c>
      <c r="H721" s="3">
        <f ca="1" t="shared" si="23"/>
        <v>4.73943109258602</v>
      </c>
    </row>
    <row r="722" hidden="1" spans="1:8">
      <c r="A722" s="3">
        <f>VLOOKUP(B722,Sheet2!$A$1:$B$31,2,0)</f>
        <v>8</v>
      </c>
      <c r="B722" s="1" t="s">
        <v>15</v>
      </c>
      <c r="C722" s="3">
        <v>2023</v>
      </c>
      <c r="D722" s="3">
        <v>43274.1</v>
      </c>
      <c r="E722" s="3">
        <v>26871.4</v>
      </c>
      <c r="F722" s="3">
        <f ca="1" t="shared" si="22"/>
        <v>70145.5</v>
      </c>
      <c r="G722" s="3">
        <v>15883.9</v>
      </c>
      <c r="H722" s="3">
        <f ca="1" t="shared" si="23"/>
        <v>4.41613835393071</v>
      </c>
    </row>
    <row r="723" hidden="1" spans="1:8">
      <c r="A723" s="3">
        <f>VLOOKUP(B723,Sheet2!$A$1:$B$31,2,0)</f>
        <v>9</v>
      </c>
      <c r="B723" s="1" t="s">
        <v>16</v>
      </c>
      <c r="C723" s="3">
        <v>2023</v>
      </c>
      <c r="D723" s="4">
        <v>204429.29</v>
      </c>
      <c r="E723" s="3">
        <v>111766.72</v>
      </c>
      <c r="F723" s="3">
        <f ca="1" t="shared" si="22"/>
        <v>316196.01</v>
      </c>
      <c r="G723" s="3">
        <v>47218.7</v>
      </c>
      <c r="H723" s="3">
        <f ca="1" t="shared" si="23"/>
        <v>6.69641497965848</v>
      </c>
    </row>
    <row r="724" hidden="1" spans="1:8">
      <c r="A724" s="3">
        <f>VLOOKUP(B724,Sheet2!$A$1:$B$31,2,0)</f>
        <v>10</v>
      </c>
      <c r="B724" s="1" t="s">
        <v>17</v>
      </c>
      <c r="C724" s="3">
        <v>2023</v>
      </c>
      <c r="D724" s="3">
        <v>245918.55</v>
      </c>
      <c r="E724" s="3">
        <v>236409.15</v>
      </c>
      <c r="F724" s="3">
        <f ca="1" t="shared" si="22"/>
        <v>482327.7</v>
      </c>
      <c r="G724" s="3">
        <v>128222.2</v>
      </c>
      <c r="H724" s="3">
        <f ca="1" t="shared" si="23"/>
        <v>3.76165515799916</v>
      </c>
    </row>
    <row r="725" hidden="1" spans="1:8">
      <c r="A725" s="3">
        <f>VLOOKUP(B725,Sheet2!$A$1:$B$31,2,0)</f>
        <v>11</v>
      </c>
      <c r="B725" s="1" t="s">
        <v>18</v>
      </c>
      <c r="C725" s="3">
        <v>2023</v>
      </c>
      <c r="D725" s="3">
        <v>220736.58</v>
      </c>
      <c r="E725" s="3">
        <v>217223.05</v>
      </c>
      <c r="F725" s="3">
        <f ca="1" t="shared" si="22"/>
        <v>437959.63</v>
      </c>
      <c r="G725" s="3">
        <v>82553.2</v>
      </c>
      <c r="H725" s="3">
        <f ca="1" t="shared" si="23"/>
        <v>5.30518053812572</v>
      </c>
    </row>
    <row r="726" hidden="1" spans="1:8">
      <c r="A726" s="3">
        <f>VLOOKUP(B726,Sheet2!$A$1:$B$31,2,0)</f>
        <v>12</v>
      </c>
      <c r="B726" s="1" t="s">
        <v>19</v>
      </c>
      <c r="C726" s="3">
        <v>2023</v>
      </c>
      <c r="D726" s="3">
        <v>83303.47</v>
      </c>
      <c r="E726" s="3">
        <v>77990.37</v>
      </c>
      <c r="F726" s="3">
        <f ca="1" t="shared" si="22"/>
        <v>161293.84</v>
      </c>
      <c r="G726" s="3">
        <v>47050.6</v>
      </c>
      <c r="H726" s="3">
        <f ca="1" t="shared" si="23"/>
        <v>3.42809315927958</v>
      </c>
    </row>
    <row r="727" hidden="1" spans="1:8">
      <c r="A727" s="3">
        <f>VLOOKUP(B727,Sheet2!$A$1:$B$31,2,0)</f>
        <v>13</v>
      </c>
      <c r="B727" s="1" t="s">
        <v>20</v>
      </c>
      <c r="C727" s="3">
        <v>2023</v>
      </c>
      <c r="D727" s="3">
        <v>81021.13</v>
      </c>
      <c r="E727" s="3">
        <v>82387.64</v>
      </c>
      <c r="F727" s="3">
        <f ca="1" t="shared" si="22"/>
        <v>163408.77</v>
      </c>
      <c r="G727" s="3">
        <v>54355.1</v>
      </c>
      <c r="H727" s="3">
        <f ca="1" t="shared" si="23"/>
        <v>3.00631900226474</v>
      </c>
    </row>
    <row r="728" hidden="1" spans="1:8">
      <c r="A728" s="3">
        <f>VLOOKUP(B728,Sheet2!$A$1:$B$31,2,0)</f>
        <v>14</v>
      </c>
      <c r="B728" s="1" t="s">
        <v>21</v>
      </c>
      <c r="C728" s="3">
        <v>2023</v>
      </c>
      <c r="D728" s="3">
        <v>58037.88</v>
      </c>
      <c r="E728" s="3">
        <v>58049.16</v>
      </c>
      <c r="F728" s="3">
        <f ca="1" t="shared" si="22"/>
        <v>116087.04</v>
      </c>
      <c r="G728" s="3">
        <v>32200.1</v>
      </c>
      <c r="H728" s="3">
        <f ca="1" t="shared" si="23"/>
        <v>3.60517638143981</v>
      </c>
    </row>
    <row r="729" hidden="1" spans="1:8">
      <c r="A729" s="3">
        <f>VLOOKUP(B729,Sheet2!$A$1:$B$31,2,0)</f>
        <v>15</v>
      </c>
      <c r="B729" s="1" t="s">
        <v>22</v>
      </c>
      <c r="C729" s="3">
        <v>2023</v>
      </c>
      <c r="D729" s="3">
        <v>159927</v>
      </c>
      <c r="E729" s="3">
        <v>138667.3</v>
      </c>
      <c r="F729" s="3">
        <f ca="1" t="shared" si="22"/>
        <v>298594.3</v>
      </c>
      <c r="G729" s="3">
        <v>92068.7</v>
      </c>
      <c r="H729" s="3">
        <f ca="1" t="shared" si="23"/>
        <v>3.24316841662802</v>
      </c>
    </row>
    <row r="730" hidden="1" spans="1:8">
      <c r="A730" s="3">
        <f>VLOOKUP(B730,Sheet2!$A$1:$B$31,2,0)</f>
        <v>16</v>
      </c>
      <c r="B730" s="1" t="s">
        <v>23</v>
      </c>
      <c r="C730" s="3">
        <v>2023</v>
      </c>
      <c r="D730" s="3">
        <v>100584.89</v>
      </c>
      <c r="E730" s="3">
        <v>83596.66</v>
      </c>
      <c r="F730" s="3">
        <f ca="1" t="shared" si="22"/>
        <v>184181.55</v>
      </c>
      <c r="G730" s="3">
        <v>59132.4</v>
      </c>
      <c r="H730" s="3">
        <f ca="1" t="shared" si="23"/>
        <v>3.11473151774662</v>
      </c>
    </row>
    <row r="731" hidden="1" spans="1:8">
      <c r="A731" s="3">
        <f>VLOOKUP(B731,Sheet2!$A$1:$B$31,2,0)</f>
        <v>17</v>
      </c>
      <c r="B731" s="1" t="s">
        <v>24</v>
      </c>
      <c r="C731" s="3">
        <v>2023</v>
      </c>
      <c r="D731" s="3">
        <v>87127.2150502498</v>
      </c>
      <c r="E731" s="3">
        <v>81368.0053260047</v>
      </c>
      <c r="F731" s="3">
        <f ca="1" t="shared" si="22"/>
        <v>168495.220376254</v>
      </c>
      <c r="G731" s="3">
        <v>55803.6</v>
      </c>
      <c r="H731" s="3">
        <f ca="1" t="shared" si="23"/>
        <v>3.01943280319289</v>
      </c>
    </row>
    <row r="732" hidden="1" spans="1:8">
      <c r="A732" s="3">
        <f>VLOOKUP(B732,Sheet2!$A$1:$B$31,2,0)</f>
        <v>18</v>
      </c>
      <c r="B732" s="1" t="s">
        <v>25</v>
      </c>
      <c r="C732" s="3">
        <v>2023</v>
      </c>
      <c r="D732" s="3">
        <v>77673.53</v>
      </c>
      <c r="E732" s="3">
        <v>69396.42</v>
      </c>
      <c r="F732" s="3">
        <f ca="1" t="shared" si="22"/>
        <v>147069.95</v>
      </c>
      <c r="G732" s="3">
        <v>50012.9</v>
      </c>
      <c r="H732" s="3">
        <f ca="1" t="shared" si="23"/>
        <v>2.94064031479878</v>
      </c>
    </row>
    <row r="733" hidden="1" spans="1:8">
      <c r="A733" s="3">
        <f>VLOOKUP(B733,Sheet2!$A$1:$B$31,2,0)</f>
        <v>19</v>
      </c>
      <c r="B733" s="1" t="s">
        <v>26</v>
      </c>
      <c r="C733" s="3">
        <v>2023</v>
      </c>
      <c r="D733" s="3">
        <v>350887.61</v>
      </c>
      <c r="E733" s="3">
        <v>271561.63</v>
      </c>
      <c r="F733" s="3">
        <f ca="1" t="shared" si="22"/>
        <v>622449.24</v>
      </c>
      <c r="G733" s="3">
        <v>135673.2</v>
      </c>
      <c r="H733" s="3">
        <f ca="1" t="shared" si="23"/>
        <v>4.58785699754999</v>
      </c>
    </row>
    <row r="734" hidden="1" spans="1:8">
      <c r="A734" s="3">
        <f>VLOOKUP(B734,Sheet2!$A$1:$B$31,2,0)</f>
        <v>20</v>
      </c>
      <c r="B734" s="1" t="s">
        <v>27</v>
      </c>
      <c r="C734" s="3">
        <v>2023</v>
      </c>
      <c r="D734" s="3">
        <v>44067.2</v>
      </c>
      <c r="E734" s="3">
        <v>49773.05</v>
      </c>
      <c r="F734" s="3">
        <f ca="1" t="shared" si="22"/>
        <v>93840.25</v>
      </c>
      <c r="G734" s="3">
        <v>27202.4</v>
      </c>
      <c r="H734" s="3">
        <f ca="1" t="shared" si="23"/>
        <v>3.44970480545834</v>
      </c>
    </row>
    <row r="735" hidden="1" spans="1:8">
      <c r="A735" s="3">
        <f>VLOOKUP(B735,Sheet2!$A$1:$B$31,2,0)</f>
        <v>21</v>
      </c>
      <c r="B735" s="1" t="s">
        <v>28</v>
      </c>
      <c r="C735" s="3">
        <v>2023</v>
      </c>
      <c r="D735" s="3">
        <v>13478.5</v>
      </c>
      <c r="E735" s="3">
        <v>11915.88</v>
      </c>
      <c r="F735" s="3">
        <f ca="1" t="shared" si="22"/>
        <v>25394.38</v>
      </c>
      <c r="G735" s="3">
        <v>7551.2</v>
      </c>
      <c r="H735" s="3">
        <f ca="1" t="shared" si="23"/>
        <v>3.36295952961119</v>
      </c>
    </row>
    <row r="736" hidden="1" spans="1:8">
      <c r="A736" s="3">
        <f>VLOOKUP(B736,Sheet2!$A$1:$B$31,2,0)</f>
        <v>22</v>
      </c>
      <c r="B736" s="1" t="s">
        <v>29</v>
      </c>
      <c r="C736" s="3">
        <v>2023</v>
      </c>
      <c r="D736" s="3">
        <v>53562.75</v>
      </c>
      <c r="E736" s="3">
        <v>56730.17</v>
      </c>
      <c r="F736" s="3">
        <f ca="1" t="shared" si="22"/>
        <v>110292.92</v>
      </c>
      <c r="G736" s="3">
        <v>30145.8</v>
      </c>
      <c r="H736" s="3">
        <f ca="1" t="shared" si="23"/>
        <v>3.65864962946745</v>
      </c>
    </row>
    <row r="737" hidden="1" spans="1:8">
      <c r="A737" s="3">
        <f>VLOOKUP(B737,Sheet2!$A$1:$B$31,2,0)</f>
        <v>23</v>
      </c>
      <c r="B737" s="1" t="s">
        <v>30</v>
      </c>
      <c r="C737" s="3">
        <v>2023</v>
      </c>
      <c r="D737" s="3">
        <v>122980.74</v>
      </c>
      <c r="E737" s="3">
        <v>105790.59</v>
      </c>
      <c r="F737" s="3">
        <f ca="1" t="shared" si="22"/>
        <v>228771.33</v>
      </c>
      <c r="G737" s="3">
        <v>60132.9</v>
      </c>
      <c r="H737" s="3">
        <f ca="1" t="shared" si="23"/>
        <v>3.80442869045065</v>
      </c>
    </row>
    <row r="738" hidden="1" spans="1:8">
      <c r="A738" s="3">
        <f>VLOOKUP(B738,Sheet2!$A$1:$B$31,2,0)</f>
        <v>24</v>
      </c>
      <c r="B738" s="1" t="s">
        <v>31</v>
      </c>
      <c r="C738" s="3">
        <v>2023</v>
      </c>
      <c r="D738" s="3">
        <v>36066.64</v>
      </c>
      <c r="E738" s="3">
        <v>45063.45</v>
      </c>
      <c r="F738" s="3">
        <f ca="1" t="shared" si="22"/>
        <v>81130.09</v>
      </c>
      <c r="G738" s="3">
        <v>20913.3</v>
      </c>
      <c r="H738" s="3">
        <f ca="1" t="shared" si="23"/>
        <v>3.87935380834206</v>
      </c>
    </row>
    <row r="739" hidden="1" spans="1:8">
      <c r="A739" s="3">
        <f>VLOOKUP(B739,Sheet2!$A$1:$B$31,2,0)</f>
        <v>25</v>
      </c>
      <c r="B739" s="1" t="s">
        <v>32</v>
      </c>
      <c r="C739" s="3">
        <v>2023</v>
      </c>
      <c r="D739" s="3">
        <v>43150.98</v>
      </c>
      <c r="E739" s="3">
        <v>45553.61</v>
      </c>
      <c r="F739" s="3">
        <f ca="1" t="shared" si="22"/>
        <v>88704.59</v>
      </c>
      <c r="G739" s="3">
        <v>30021.1</v>
      </c>
      <c r="H739" s="3">
        <f ca="1" t="shared" si="23"/>
        <v>2.9547414984794</v>
      </c>
    </row>
    <row r="740" hidden="1" spans="1:8">
      <c r="A740" s="3">
        <f>VLOOKUP(B740,Sheet2!$A$1:$B$31,2,0)</f>
        <v>26</v>
      </c>
      <c r="B740" s="1" t="s">
        <v>33</v>
      </c>
      <c r="C740" s="3">
        <v>2023</v>
      </c>
      <c r="D740" s="3">
        <v>6444.9</v>
      </c>
      <c r="E740" s="3">
        <v>6011.36</v>
      </c>
      <c r="F740" s="3">
        <f ca="1" t="shared" si="22"/>
        <v>12456.26</v>
      </c>
      <c r="G740" s="3">
        <v>2392.7</v>
      </c>
      <c r="H740" s="3">
        <f ca="1" t="shared" si="23"/>
        <v>5.20594307685878</v>
      </c>
    </row>
    <row r="741" hidden="1" spans="1:8">
      <c r="A741" s="3">
        <f>VLOOKUP(B741,Sheet2!$A$1:$B$31,2,0)</f>
        <v>27</v>
      </c>
      <c r="B741" s="1" t="s">
        <v>34</v>
      </c>
      <c r="C741" s="3">
        <v>2023</v>
      </c>
      <c r="D741" s="3">
        <v>66934.4</v>
      </c>
      <c r="E741" s="3">
        <v>53876.81</v>
      </c>
      <c r="F741" s="3">
        <f ca="1" t="shared" si="22"/>
        <v>120811.21</v>
      </c>
      <c r="G741" s="3">
        <v>33786.1</v>
      </c>
      <c r="H741" s="3">
        <f ca="1" t="shared" si="23"/>
        <v>3.57576666143769</v>
      </c>
    </row>
    <row r="742" hidden="1" spans="1:8">
      <c r="A742" s="3">
        <f>VLOOKUP(B742,Sheet2!$A$1:$B$31,2,0)</f>
        <v>28</v>
      </c>
      <c r="B742" s="1" t="s">
        <v>35</v>
      </c>
      <c r="C742" s="3">
        <v>2023</v>
      </c>
      <c r="D742" s="3">
        <v>26544.05</v>
      </c>
      <c r="E742" s="3">
        <v>27489.81</v>
      </c>
      <c r="F742" s="3">
        <f ca="1" t="shared" si="22"/>
        <v>54033.86</v>
      </c>
      <c r="G742" s="3">
        <v>11863.8</v>
      </c>
      <c r="H742" s="3">
        <f ca="1" t="shared" si="23"/>
        <v>4.55451541664559</v>
      </c>
    </row>
    <row r="743" hidden="1" spans="1:8">
      <c r="A743" s="3">
        <f>VLOOKUP(B743,Sheet2!$A$1:$B$31,2,0)</f>
        <v>29</v>
      </c>
      <c r="B743" s="1" t="s">
        <v>36</v>
      </c>
      <c r="C743" s="3">
        <v>2023</v>
      </c>
      <c r="D743" s="3">
        <v>7886.92</v>
      </c>
      <c r="E743" s="3">
        <v>7550.24</v>
      </c>
      <c r="F743" s="3">
        <f ca="1" t="shared" si="22"/>
        <v>15437.16</v>
      </c>
      <c r="G743" s="3">
        <v>3799.1</v>
      </c>
      <c r="H743" s="3">
        <f ca="1" t="shared" si="23"/>
        <v>4.06337290410887</v>
      </c>
    </row>
    <row r="744" hidden="1" spans="1:8">
      <c r="A744" s="3">
        <f>VLOOKUP(B744,Sheet2!$A$1:$B$31,2,0)</f>
        <v>30</v>
      </c>
      <c r="B744" s="1" t="s">
        <v>37</v>
      </c>
      <c r="C744" s="3">
        <v>2023</v>
      </c>
      <c r="D744" s="4">
        <v>9347.07</v>
      </c>
      <c r="E744" s="3">
        <v>9711.84</v>
      </c>
      <c r="F744" s="3">
        <f ca="1" t="shared" si="22"/>
        <v>19058.91</v>
      </c>
      <c r="G744" s="3">
        <v>5315</v>
      </c>
      <c r="H744" s="3">
        <f ca="1" t="shared" si="23"/>
        <v>3.58587206020696</v>
      </c>
    </row>
    <row r="745" hidden="1" spans="1:8">
      <c r="A745" s="3">
        <f>VLOOKUP(B745,Sheet2!$A$1:$B$31,2,0)</f>
        <v>31</v>
      </c>
      <c r="B745" s="1" t="s">
        <v>38</v>
      </c>
      <c r="C745" s="3">
        <v>2023</v>
      </c>
      <c r="D745" s="3">
        <v>32985.51</v>
      </c>
      <c r="E745" s="3">
        <v>30857.22</v>
      </c>
      <c r="F745" s="3">
        <f ca="1" t="shared" si="22"/>
        <v>63842.73</v>
      </c>
      <c r="G745" s="3">
        <v>19125.9</v>
      </c>
      <c r="H745" s="3">
        <f ca="1" t="shared" si="23"/>
        <v>3.33802487726068</v>
      </c>
    </row>
  </sheetData>
  <sheetProtection formatCells="0" insertHyperlinks="0" autoFilter="0"/>
  <autoFilter ref="A1:H745">
    <filterColumn colId="1">
      <customFilters>
        <customFilter operator="equal" val="河北"/>
      </customFilters>
    </filterColumn>
    <extLst/>
  </autoFilter>
  <sortState ref="A2:H745">
    <sortCondition ref="C2:C745"/>
    <sortCondition ref="A2:A745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D3" sqref="D3"/>
    </sheetView>
  </sheetViews>
  <sheetFormatPr defaultColWidth="9" defaultRowHeight="14.25" outlineLevelCol="3"/>
  <sheetData>
    <row r="1" spans="1:4">
      <c r="A1" s="1" t="s">
        <v>8</v>
      </c>
      <c r="B1">
        <v>1</v>
      </c>
      <c r="D1" s="2" t="s">
        <v>39</v>
      </c>
    </row>
    <row r="2" spans="1:4">
      <c r="A2" s="1" t="s">
        <v>9</v>
      </c>
      <c r="B2">
        <v>2</v>
      </c>
      <c r="D2" s="2" t="s">
        <v>40</v>
      </c>
    </row>
    <row r="3" spans="1:2">
      <c r="A3" s="1" t="s">
        <v>10</v>
      </c>
      <c r="B3">
        <v>3</v>
      </c>
    </row>
    <row r="4" spans="1:2">
      <c r="A4" s="1" t="s">
        <v>11</v>
      </c>
      <c r="B4">
        <v>4</v>
      </c>
    </row>
    <row r="5" spans="1:2">
      <c r="A5" s="1" t="s">
        <v>12</v>
      </c>
      <c r="B5">
        <v>5</v>
      </c>
    </row>
    <row r="6" spans="1:2">
      <c r="A6" s="1" t="s">
        <v>13</v>
      </c>
      <c r="B6">
        <v>6</v>
      </c>
    </row>
    <row r="7" spans="1:2">
      <c r="A7" s="1" t="s">
        <v>14</v>
      </c>
      <c r="B7">
        <v>7</v>
      </c>
    </row>
    <row r="8" spans="1:2">
      <c r="A8" s="1" t="s">
        <v>15</v>
      </c>
      <c r="B8">
        <v>8</v>
      </c>
    </row>
    <row r="9" spans="1:2">
      <c r="A9" s="1" t="s">
        <v>16</v>
      </c>
      <c r="B9">
        <v>9</v>
      </c>
    </row>
    <row r="10" spans="1:2">
      <c r="A10" s="1" t="s">
        <v>17</v>
      </c>
      <c r="B10">
        <v>10</v>
      </c>
    </row>
    <row r="11" spans="1:2">
      <c r="A11" s="1" t="s">
        <v>18</v>
      </c>
      <c r="B11">
        <v>11</v>
      </c>
    </row>
    <row r="12" spans="1:2">
      <c r="A12" s="1" t="s">
        <v>19</v>
      </c>
      <c r="B12">
        <v>12</v>
      </c>
    </row>
    <row r="13" spans="1:2">
      <c r="A13" s="1" t="s">
        <v>20</v>
      </c>
      <c r="B13">
        <v>13</v>
      </c>
    </row>
    <row r="14" spans="1:2">
      <c r="A14" s="1" t="s">
        <v>21</v>
      </c>
      <c r="B14">
        <v>14</v>
      </c>
    </row>
    <row r="15" spans="1:2">
      <c r="A15" s="1" t="s">
        <v>22</v>
      </c>
      <c r="B15">
        <v>15</v>
      </c>
    </row>
    <row r="16" spans="1:2">
      <c r="A16" s="1" t="s">
        <v>23</v>
      </c>
      <c r="B16">
        <v>16</v>
      </c>
    </row>
    <row r="17" spans="1:2">
      <c r="A17" s="1" t="s">
        <v>24</v>
      </c>
      <c r="B17">
        <v>17</v>
      </c>
    </row>
    <row r="18" spans="1:2">
      <c r="A18" s="1" t="s">
        <v>25</v>
      </c>
      <c r="B18">
        <v>18</v>
      </c>
    </row>
    <row r="19" spans="1:2">
      <c r="A19" s="1" t="s">
        <v>26</v>
      </c>
      <c r="B19">
        <v>19</v>
      </c>
    </row>
    <row r="20" spans="1:2">
      <c r="A20" s="1" t="s">
        <v>27</v>
      </c>
      <c r="B20">
        <v>20</v>
      </c>
    </row>
    <row r="21" spans="1:2">
      <c r="A21" s="1" t="s">
        <v>28</v>
      </c>
      <c r="B21">
        <v>21</v>
      </c>
    </row>
    <row r="22" spans="1:2">
      <c r="A22" s="1" t="s">
        <v>29</v>
      </c>
      <c r="B22">
        <v>22</v>
      </c>
    </row>
    <row r="23" spans="1:2">
      <c r="A23" s="1" t="s">
        <v>30</v>
      </c>
      <c r="B23">
        <v>23</v>
      </c>
    </row>
    <row r="24" spans="1:2">
      <c r="A24" s="1" t="s">
        <v>31</v>
      </c>
      <c r="B24">
        <v>24</v>
      </c>
    </row>
    <row r="25" spans="1:2">
      <c r="A25" s="1" t="s">
        <v>32</v>
      </c>
      <c r="B25">
        <v>25</v>
      </c>
    </row>
    <row r="26" spans="1:2">
      <c r="A26" s="1" t="s">
        <v>33</v>
      </c>
      <c r="B26">
        <v>26</v>
      </c>
    </row>
    <row r="27" spans="1:2">
      <c r="A27" s="1" t="s">
        <v>34</v>
      </c>
      <c r="B27">
        <v>27</v>
      </c>
    </row>
    <row r="28" spans="1:2">
      <c r="A28" s="1" t="s">
        <v>35</v>
      </c>
      <c r="B28">
        <v>28</v>
      </c>
    </row>
    <row r="29" spans="1:2">
      <c r="A29" s="1" t="s">
        <v>36</v>
      </c>
      <c r="B29">
        <v>29</v>
      </c>
    </row>
    <row r="30" spans="1:2">
      <c r="A30" s="1" t="s">
        <v>37</v>
      </c>
      <c r="B30">
        <v>30</v>
      </c>
    </row>
    <row r="31" spans="1:2">
      <c r="A31" s="1" t="s">
        <v>38</v>
      </c>
      <c r="B31">
        <v>31</v>
      </c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/>
    <woSheetProps sheetStid="5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4" master=""/>
  <rangeList sheetStid="5" master=""/>
</allowEditUser>
</file>

<file path=customXml/item4.xml><?xml version="1.0" encoding="utf-8"?>
<pixelators xmlns="https://web.wps.cn/et/2018/main" xmlns:s="http://schemas.openxmlformats.org/spreadsheetml/2006/main">
  <pixelatorList sheetStid="4"/>
  <pixelatorList sheetStid="5"/>
  <pixelatorList sheetStid="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靖丽 赵</cp:lastModifiedBy>
  <dcterms:created xsi:type="dcterms:W3CDTF">2022-05-10T12:57:00Z</dcterms:created>
  <dcterms:modified xsi:type="dcterms:W3CDTF">2025-05-26T08:20:00Z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F4D599914C814C70B531AF900E567893</vt:lpwstr>
  </property>
  <property fmtid="{D5CDD505-2E9C-101B-9397-08002B2CF9AE}" pid="3" name="KSOProductBuildVer">
    <vt:lpwstr>2052-0.0.0.0</vt:lpwstr>
  </property>
</Properties>
</file>